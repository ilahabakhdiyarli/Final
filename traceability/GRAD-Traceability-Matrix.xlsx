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Xülasə" sheetId="2" state="visible" r:id="rId2"/>
  </sheets>
  <definedNames>
    <definedName name="_xlnm._FilterDatabase" localSheetId="0" hidden="1">'Traceability Matrix'!$A$1:$I$87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i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6EFCE"/>
      </patternFill>
    </fill>
    <fill>
      <patternFill patternType="solid">
        <fgColor rgb="FFC6EFCE"/>
        <bgColor rgb="FFC6E0B4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FFC7CE"/>
        <bgColor rgb="FFF8CBAD"/>
      </patternFill>
    </fill>
    <fill>
      <patternFill patternType="solid">
        <fgColor rgb="FFD9D9D9"/>
        <bgColor rgb="FFC6E0B4"/>
      </patternFill>
    </fill>
    <fill>
      <patternFill patternType="solid">
        <fgColor rgb="FFFFEB9C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E699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1" customWidth="1" style="17" min="2" max="2"/>
    <col width="10" customWidth="1" style="17" min="3" max="3"/>
    <col width="46" customWidth="1" style="17" min="4" max="4"/>
    <col width="20" customWidth="1" style="17" min="5" max="5"/>
    <col width="16" customWidth="1" style="17" min="6" max="6"/>
    <col width="24" customWidth="1" style="17" min="7" max="7"/>
    <col width="26" customWidth="1" style="17" min="8" max="8"/>
    <col width="46" customWidth="1" style="17" min="9" max="9"/>
    <col width="62" customWidth="1" style="17" min="10" max="10"/>
    <col width="30" customWidth="1" style="17" min="11" max="11"/>
    <col width="34" customWidth="1" style="17" min="12" max="12"/>
    <col width="30" customWidth="1" style="17" min="13" max="14"/>
  </cols>
  <sheetData>
    <row r="1" ht="30" customHeight="1" s="18">
      <c r="A1" s="19" t="inlineStr">
        <is>
          <t>Epic</t>
        </is>
      </c>
      <c r="B1" s="19" t="inlineStr">
        <is>
          <t>Ticket</t>
        </is>
      </c>
      <c r="C1" s="19" t="inlineStr">
        <is>
          <t>AC ID</t>
        </is>
      </c>
      <c r="D1" s="19" t="inlineStr">
        <is>
          <t>AC təsviri (qısa, GRAD-AC-Reference.md-dən)</t>
        </is>
      </c>
      <c r="E1" s="19" t="inlineStr">
        <is>
          <t>Prioritet (TestPlan/AC-Reference)</t>
        </is>
      </c>
      <c r="F1" s="19" t="inlineStr">
        <is>
          <t>Avtomatlaşdırma statusu (Gauge)</t>
        </is>
      </c>
      <c r="G1" s="19" t="inlineStr">
        <is>
          <t>Gauge spec faylı</t>
        </is>
      </c>
      <c r="H1" s="19" t="inlineStr">
        <is>
          <t>Spec ssenari(ləri)</t>
        </is>
      </c>
      <c r="I1" s="19" t="inlineStr">
        <is>
          <t>Qeyd / Gap izahı</t>
        </is>
      </c>
      <c r="J1" s="19" t="inlineStr">
        <is>
          <t>RestAssured test(lər)i (grad-restassured-testng)</t>
        </is>
      </c>
      <c r="K1" s="19" t="inlineStr">
        <is>
          <t>RestAssured statusu (son tam icra 09.10.2026: 147/147 passed)</t>
        </is>
      </c>
      <c r="L1" s="19" t="inlineStr">
        <is>
          <t>Test case ID(lər) — docs/Test-Cases-UI-API.xlsx</t>
        </is>
      </c>
      <c r="M1" s="19" t="inlineStr">
        <is>
          <t>Son nəticə (09.10.2026)</t>
        </is>
      </c>
      <c r="N1" s="19" t="inlineStr">
        <is>
          <t>Bug</t>
        </is>
      </c>
    </row>
    <row r="2" ht="34.5" customHeight="1" s="18">
      <c r="A2" s="20" t="inlineStr">
        <is>
          <t>EPIC-1: Saxlanmış alıcılar</t>
        </is>
      </c>
      <c r="B2" s="20" t="inlineStr">
        <is>
          <t>GRAD-101</t>
        </is>
      </c>
      <c r="C2" s="20" t="inlineStr">
        <is>
          <t>AC-1</t>
        </is>
      </c>
      <c r="D2" s="20" t="inlineStr">
        <is>
          <t>Etibarlı sorğu → 201; id/iban/ibanMasked/currency/nickname/createdAt + Location header</t>
        </is>
      </c>
      <c r="E2" s="20" t="inlineStr">
        <is>
          <t>High (5 SP)</t>
        </is>
      </c>
      <c r="F2" s="21" t="inlineStr">
        <is>
          <t>Tam</t>
        </is>
      </c>
      <c r="G2" s="20" t="inlineStr">
        <is>
          <t>gradBeneficiaryTesting.spec</t>
        </is>
      </c>
      <c r="H2" s="20" t="inlineStr">
        <is>
          <t>#1</t>
        </is>
      </c>
      <c r="I2" s="20" t="inlineStr">
        <is>
          <t>Bütün sahələr və Location header yoxlanılır.</t>
        </is>
      </c>
      <c r="J2" s="20" t="inlineStr">
        <is>
          <t>BeneficiaryCreateTest.ac1_validRequest_returns201WithAllFields</t>
        </is>
      </c>
      <c r="K2" s="20" t="inlineStr">
        <is>
          <t>Avtomat — 2026-10-07 passed</t>
        </is>
      </c>
      <c r="L2" s="20" t="inlineStr">
        <is>
          <t>TC-API-BEN-101-01</t>
        </is>
      </c>
      <c r="M2" s="22" t="inlineStr">
        <is>
          <t>Passed</t>
        </is>
      </c>
      <c r="N2" s="20" t="n"/>
    </row>
    <row r="3" ht="23.25" customHeight="1" s="18">
      <c r="A3" s="20" t="inlineStr">
        <is>
          <t>EPIC-1: Saxlanmış alıcılar</t>
        </is>
      </c>
      <c r="B3" s="20" t="inlineStr">
        <is>
          <t>GRAD-101</t>
        </is>
      </c>
      <c r="C3" s="20" t="inlineStr">
        <is>
          <t>AC-2</t>
        </is>
      </c>
      <c r="D3" s="20" t="inlineStr">
        <is>
          <t>IBAN normallaşdırma (boşluq+kiçik hərf → təmiz+böyük hərf)</t>
        </is>
      </c>
      <c r="E3" s="20" t="inlineStr">
        <is>
          <t>High (5 SP)</t>
        </is>
      </c>
      <c r="F3" s="21" t="inlineStr">
        <is>
          <t>Tam</t>
        </is>
      </c>
      <c r="G3" s="20" t="inlineStr">
        <is>
          <t>gradBeneficiaryTesting.spec</t>
        </is>
      </c>
      <c r="H3" s="20" t="inlineStr">
        <is>
          <t>#2</t>
        </is>
      </c>
      <c r="I3" s="20" t="n"/>
      <c r="J3" s="20" t="inlineStr">
        <is>
          <t>BeneficiaryCreateTest.ac2_ibanNormalization_spacesAndLowercase</t>
        </is>
      </c>
      <c r="K3" s="20" t="inlineStr">
        <is>
          <t>Avtomat — 2026-10-07 passed</t>
        </is>
      </c>
      <c r="L3" s="20" t="inlineStr">
        <is>
          <t>TC-API-BEN-101-02</t>
        </is>
      </c>
      <c r="M3" s="22" t="inlineStr">
        <is>
          <t>Passed</t>
        </is>
      </c>
      <c r="N3" s="20" t="n"/>
    </row>
    <row r="4" ht="23.25" customHeight="1" s="18">
      <c r="A4" s="20" t="inlineStr">
        <is>
          <t>EPIC-1: Saxlanmış alıcılar</t>
        </is>
      </c>
      <c r="B4" s="20" t="inlineStr">
        <is>
          <t>GRAD-101</t>
        </is>
      </c>
      <c r="C4" s="20" t="inlineStr">
        <is>
          <t>AC-3</t>
        </is>
      </c>
      <c r="D4" s="20" t="inlineStr">
        <is>
          <t>nickname göndərilmədikdə null qaytarılır</t>
        </is>
      </c>
      <c r="E4" s="20" t="inlineStr">
        <is>
          <t>High (5 SP)</t>
        </is>
      </c>
      <c r="F4" s="21" t="inlineStr">
        <is>
          <t>Tam</t>
        </is>
      </c>
      <c r="G4" s="20" t="inlineStr">
        <is>
          <t>gradBeneficiaryTesting.spec</t>
        </is>
      </c>
      <c r="H4" s="20" t="inlineStr">
        <is>
          <t>#3</t>
        </is>
      </c>
      <c r="I4" s="20" t="n"/>
      <c r="J4" s="20" t="inlineStr">
        <is>
          <t>BeneficiaryCreateTest.ac3_nicknameNotSent_returnsNull</t>
        </is>
      </c>
      <c r="K4" s="20" t="inlineStr">
        <is>
          <t>Avtomat — 2026-10-07 passed</t>
        </is>
      </c>
      <c r="L4" s="20" t="inlineStr">
        <is>
          <t>TC-API-BEN-101-03</t>
        </is>
      </c>
      <c r="M4" s="22" t="inlineStr">
        <is>
          <t>Passed</t>
        </is>
      </c>
      <c r="N4" s="20" t="n"/>
    </row>
    <row r="5" ht="23.25" customHeight="1" s="18">
      <c r="A5" s="20" t="inlineStr">
        <is>
          <t>EPIC-1: Saxlanmış alıcılar</t>
        </is>
      </c>
      <c r="B5" s="20" t="inlineStr">
        <is>
          <t>GRAD-101</t>
        </is>
      </c>
      <c r="C5" s="20" t="inlineStr">
        <is>
          <t>AC-4</t>
        </is>
      </c>
      <c r="D5" s="20" t="inlineStr">
        <is>
          <t>Bir neçə sahə eyni anda səhv → 400 VALIDATION_ERROR, details[]</t>
        </is>
      </c>
      <c r="E5" s="20" t="inlineStr">
        <is>
          <t>High (5 SP)</t>
        </is>
      </c>
      <c r="F5" s="21" t="inlineStr">
        <is>
          <t>Tam</t>
        </is>
      </c>
      <c r="G5" s="20" t="inlineStr">
        <is>
          <t>gradBeneficiaryTesting.spec</t>
        </is>
      </c>
      <c r="H5" s="20" t="inlineStr">
        <is>
          <t>#4</t>
        </is>
      </c>
      <c r="I5" s="20" t="inlineStr">
        <is>
          <t>details ölçüsü 2 təsdiqlənir.</t>
        </is>
      </c>
      <c r="J5" s="20" t="inlineStr">
        <is>
          <t>BeneficiaryCreateTest.ac4_multipleInvalidFields_returns400WithTwoDetails</t>
        </is>
      </c>
      <c r="K5" s="20" t="inlineStr">
        <is>
          <t>Avtomat — 2026-10-07 passed</t>
        </is>
      </c>
      <c r="L5" s="20" t="inlineStr">
        <is>
          <t>TC-API-BEN-101-04</t>
        </is>
      </c>
      <c r="M5" s="22" t="inlineStr">
        <is>
          <t>Passed</t>
        </is>
      </c>
      <c r="N5" s="20" t="n"/>
    </row>
    <row r="6" ht="23.25" customHeight="1" s="18">
      <c r="A6" s="20" t="inlineStr">
        <is>
          <t>EPIC-1: Saxlanmış alıcılar</t>
        </is>
      </c>
      <c r="B6" s="20" t="inlineStr">
        <is>
          <t>GRAD-101</t>
        </is>
      </c>
      <c r="C6" s="20" t="inlineStr">
        <is>
          <t>AC-5</t>
        </is>
      </c>
      <c r="D6" s="20" t="inlineStr">
        <is>
          <t>fullName uzunluq sərhədi: 1/51 rədd, 2/50 qəbul</t>
        </is>
      </c>
      <c r="E6" s="20" t="inlineStr">
        <is>
          <t>High (5 SP)</t>
        </is>
      </c>
      <c r="F6" s="21" t="inlineStr">
        <is>
          <t>Tam</t>
        </is>
      </c>
      <c r="G6" s="20" t="inlineStr">
        <is>
          <t>gradBeneficiaryTesting.spec</t>
        </is>
      </c>
      <c r="H6" s="20" t="inlineStr">
        <is>
          <t>#5,#6,#7,#8</t>
        </is>
      </c>
      <c r="I6" s="20" t="inlineStr">
        <is>
          <t>4 sərhəd dəyəri də ayrıca test olunur.</t>
        </is>
      </c>
      <c r="J6" s="20" t="inlineStr">
        <is>
          <t>BeneficiaryCreateTest.ac5_fullNameLengthBoundary</t>
        </is>
      </c>
      <c r="K6" s="20" t="inlineStr">
        <is>
          <t>Avtomat — 2026-10-07 passed</t>
        </is>
      </c>
      <c r="L6" s="20" t="inlineStr">
        <is>
          <t>TC-API-BEN-101-05
TC-API-BEN-101-06
TC-API-BEN-101-07
TC-API-BEN-101-08</t>
        </is>
      </c>
      <c r="M6" s="22" t="inlineStr">
        <is>
          <t>Passed</t>
        </is>
      </c>
      <c r="N6" s="20" t="n"/>
    </row>
    <row r="7" ht="23.25" customHeight="1" s="18">
      <c r="A7" s="20" t="inlineStr">
        <is>
          <t>EPIC-1: Saxlanmış alıcılar</t>
        </is>
      </c>
      <c r="B7" s="20" t="inlineStr">
        <is>
          <t>GRAD-101</t>
        </is>
      </c>
      <c r="C7" s="20" t="inlineStr">
        <is>
          <t>AC-6</t>
        </is>
      </c>
      <c r="D7" s="20" t="inlineStr">
        <is>
          <t>fullName format: hərflə başlamır / rəqəm var → 400</t>
        </is>
      </c>
      <c r="E7" s="20" t="inlineStr">
        <is>
          <t>High (5 SP)</t>
        </is>
      </c>
      <c r="F7" s="21" t="inlineStr">
        <is>
          <t>Tam</t>
        </is>
      </c>
      <c r="G7" s="20" t="inlineStr">
        <is>
          <t>gradBeneficiaryTesting.spec</t>
        </is>
      </c>
      <c r="H7" s="20" t="inlineStr">
        <is>
          <t>#9,#10</t>
        </is>
      </c>
      <c r="I7" s="20" t="n"/>
      <c r="J7" s="20" t="inlineStr">
        <is>
          <t>BeneficiaryCreateTest.ac6_fullNameInvalidFormat_returns400</t>
        </is>
      </c>
      <c r="K7" s="20" t="inlineStr">
        <is>
          <t>Avtomat — 2026-10-07 passed</t>
        </is>
      </c>
      <c r="L7" s="20" t="inlineStr">
        <is>
          <t>TC-API-BEN-101-09
TC-API-BEN-101-10
TC-API-BEN-101-20</t>
        </is>
      </c>
      <c r="M7" s="22" t="inlineStr">
        <is>
          <t>Passed</t>
        </is>
      </c>
      <c r="N7" s="20" t="n"/>
    </row>
    <row r="8" ht="23.25" customHeight="1" s="18">
      <c r="A8" s="20" t="inlineStr">
        <is>
          <t>EPIC-1: Saxlanmış alıcılar</t>
        </is>
      </c>
      <c r="B8" s="20" t="inlineStr">
        <is>
          <t>GRAD-101</t>
        </is>
      </c>
      <c r="C8" s="20" t="inlineStr">
        <is>
          <t>AC-7</t>
        </is>
      </c>
      <c r="D8" s="20" t="inlineStr">
        <is>
          <t>Eyni IBAN təkrar → 409 BENEFICIARY_EXISTS</t>
        </is>
      </c>
      <c r="E8" s="20" t="inlineStr">
        <is>
          <t>High (5 SP)</t>
        </is>
      </c>
      <c r="F8" s="21" t="inlineStr">
        <is>
          <t>Tam</t>
        </is>
      </c>
      <c r="G8" s="20" t="inlineStr">
        <is>
          <t>gradBeneficiaryTesting.spec</t>
        </is>
      </c>
      <c r="H8" s="20" t="inlineStr">
        <is>
          <t>#11</t>
        </is>
      </c>
      <c r="I8" s="20" t="n"/>
      <c r="J8" s="20" t="inlineStr">
        <is>
          <t>BeneficiaryCreateTest.ac7_duplicateIban_returns409</t>
        </is>
      </c>
      <c r="K8" s="20" t="inlineStr">
        <is>
          <t>Avtomat — 2026-10-07 passed</t>
        </is>
      </c>
      <c r="L8" s="20" t="inlineStr">
        <is>
          <t>TC-API-BEN-101-11</t>
        </is>
      </c>
      <c r="M8" s="22" t="inlineStr">
        <is>
          <t>Passed</t>
        </is>
      </c>
      <c r="N8" s="20" t="n"/>
    </row>
    <row r="9" ht="23.25" customHeight="1" s="18">
      <c r="A9" s="20" t="inlineStr">
        <is>
          <t>EPIC-1: Saxlanmış alıcılar</t>
        </is>
      </c>
      <c r="B9" s="20" t="inlineStr">
        <is>
          <t>GRAD-101</t>
        </is>
      </c>
      <c r="C9" s="20" t="inlineStr">
        <is>
          <t>AC-8</t>
        </is>
      </c>
      <c r="D9" s="20" t="inlineStr">
        <is>
          <t>nickname unikallığı (case-insensitive) → 409 NICKNAME_TAKEN</t>
        </is>
      </c>
      <c r="E9" s="20" t="inlineStr">
        <is>
          <t>High (5 SP)</t>
        </is>
      </c>
      <c r="F9" s="21" t="inlineStr">
        <is>
          <t>Tam</t>
        </is>
      </c>
      <c r="G9" s="20" t="inlineStr">
        <is>
          <t>gradBeneficiaryTesting.spec</t>
        </is>
      </c>
      <c r="H9" s="20" t="inlineStr">
        <is>
          <t>#12</t>
        </is>
      </c>
      <c r="I9" s="20" t="n"/>
      <c r="J9" s="20" t="inlineStr">
        <is>
          <t>BeneficiaryCreateTest.ac8_nicknameUniqueness_caseInsensitive_returns409</t>
        </is>
      </c>
      <c r="K9" s="20" t="inlineStr">
        <is>
          <t>Avtomat — 2026-10-07 passed</t>
        </is>
      </c>
      <c r="L9" s="20" t="inlineStr">
        <is>
          <t>TC-API-BEN-101-12</t>
        </is>
      </c>
      <c r="M9" s="22" t="inlineStr">
        <is>
          <t>Passed</t>
        </is>
      </c>
      <c r="N9" s="20" t="n"/>
    </row>
    <row r="10" ht="23.25" customHeight="1" s="18">
      <c r="A10" s="20" t="inlineStr">
        <is>
          <t>EPIC-1: Saxlanmış alıcılar</t>
        </is>
      </c>
      <c r="B10" s="20" t="inlineStr">
        <is>
          <t>GRAD-101</t>
        </is>
      </c>
      <c r="C10" s="20" t="inlineStr">
        <is>
          <t>AC-9</t>
        </is>
      </c>
      <c r="D10" s="20" t="inlineStr">
        <is>
          <t>Öz hesabının IBAN-ı → 422 OWN_ACCOUNT</t>
        </is>
      </c>
      <c r="E10" s="20" t="inlineStr">
        <is>
          <t>High (5 SP)</t>
        </is>
      </c>
      <c r="F10" s="21" t="inlineStr">
        <is>
          <t>Tam</t>
        </is>
      </c>
      <c r="G10" s="20" t="inlineStr">
        <is>
          <t>gradBeneficiaryTesting.spec</t>
        </is>
      </c>
      <c r="H10" s="20" t="inlineStr">
        <is>
          <t>#13</t>
        </is>
      </c>
      <c r="I10" s="20" t="n"/>
      <c r="J10" s="20" t="inlineStr">
        <is>
          <t>BeneficiaryCreateTest.ac9_ownAccountIban_returns422</t>
        </is>
      </c>
      <c r="K10" s="20" t="inlineStr">
        <is>
          <t>Avtomat — 2026-10-07 passed</t>
        </is>
      </c>
      <c r="L10" s="20" t="inlineStr">
        <is>
          <t>TC-API-BEN-101-13</t>
        </is>
      </c>
      <c r="M10" s="22" t="inlineStr">
        <is>
          <t>Passed</t>
        </is>
      </c>
      <c r="N10" s="20" t="n"/>
    </row>
    <row r="11" ht="23.25" customHeight="1" s="18">
      <c r="A11" s="20" t="inlineStr">
        <is>
          <t>EPIC-1: Saxlanmış alıcılar</t>
        </is>
      </c>
      <c r="B11" s="20" t="inlineStr">
        <is>
          <t>GRAD-101</t>
        </is>
      </c>
      <c r="C11" s="20" t="inlineStr">
        <is>
          <t>AC-10</t>
        </is>
      </c>
      <c r="D11" s="20" t="inlineStr">
        <is>
          <t>11-ci alıcı → 422 LIMIT_REACHED, limit:10</t>
        </is>
      </c>
      <c r="E11" s="20" t="inlineStr">
        <is>
          <t>High (5 SP)</t>
        </is>
      </c>
      <c r="F11" s="21" t="inlineStr">
        <is>
          <t>Tam</t>
        </is>
      </c>
      <c r="G11" s="20" t="inlineStr">
        <is>
          <t>gradBeneficiaryTesting.spec</t>
        </is>
      </c>
      <c r="H11" s="20" t="inlineStr">
        <is>
          <t>#14</t>
        </is>
      </c>
      <c r="I11" s="20" t="n"/>
      <c r="J11" s="20" t="inlineStr">
        <is>
          <t>BeneficiaryCreateTest.ac10_eleventhBeneficiary_returns422LimitReached</t>
        </is>
      </c>
      <c r="K11" s="20" t="inlineStr">
        <is>
          <t>Avtomat — 2026-10-07 passed</t>
        </is>
      </c>
      <c r="L11" s="20" t="inlineStr">
        <is>
          <t>TC-API-BEN-101-14</t>
        </is>
      </c>
      <c r="M11" s="22" t="inlineStr">
        <is>
          <t>Passed</t>
        </is>
      </c>
      <c r="N11" s="20" t="n"/>
    </row>
    <row r="12" ht="34.5" customHeight="1" s="18">
      <c r="A12" s="20" t="inlineStr">
        <is>
          <t>EPIC-1: Saxlanmış alıcılar</t>
        </is>
      </c>
      <c r="B12" s="20" t="inlineStr">
        <is>
          <t>GRAD-101</t>
        </is>
      </c>
      <c r="C12" s="20" t="inlineStr">
        <is>
          <t>Əlavə</t>
        </is>
      </c>
      <c r="D12" s="20" t="inlineStr">
        <is>
          <t>Token yox/saxta → 401; JSON deyil → 400 INVALID_JSON; SQLi/XSS; IBAN 27/29 simvol sərhədi; AZ hərf/defis/apostrof qəbulu</t>
        </is>
      </c>
      <c r="E12" s="20" t="inlineStr">
        <is>
          <t>High (5 SP)</t>
        </is>
      </c>
      <c r="F12" s="21" t="inlineStr">
        <is>
          <t>Tam (AC-dən əlavə)</t>
        </is>
      </c>
      <c r="G12" s="20" t="inlineStr">
        <is>
          <t>gradBeneficiaryTesting.spec</t>
        </is>
      </c>
      <c r="H12" s="20" t="inlineStr">
        <is>
          <t>#15-#22</t>
        </is>
      </c>
      <c r="I12" s="20" t="inlineStr">
        <is>
          <t>Bu ssenarilər konkret nömrələnmiş AC-yə bağlı deyil, lakin Ümumi texniki qaydaları və əlavə BVA/security örtür.</t>
        </is>
      </c>
      <c r="J12" s="20" t="inlineStr">
        <is>
          <t>BeneficiaryCreateTest.extra_noToken_returns401
BeneficiaryCreateTest.extra_fakeToken_returns401
BeneficiaryCreateTest.extra_sqlInjectionInFullName_returns400
BeneficiaryCreateTest.extra_xssInNickname_returns400
BeneficiaryCreateTest.extra_invalidJsonBody_returns400InvalidJson
BeneficiaryCreateTest.extra_azerbaijaniLettersHyphenApostrophe_accepted
BeneficiaryCreateTest.extra_ibanLengthBoundary_returns400</t>
        </is>
      </c>
      <c r="K12" s="20" t="inlineStr">
        <is>
          <t>Avtomat — 2026-10-07 passed</t>
        </is>
      </c>
      <c r="L12" s="20" t="inlineStr">
        <is>
          <t>TC-API-BEN-101-15
TC-API-BEN-101-16
TC-API-BEN-101-17
TC-API-BEN-101-18
TC-API-BEN-101-19
TC-API-BEN-101-21
TC-API-BEN-101-22</t>
        </is>
      </c>
      <c r="M12" s="22" t="inlineStr">
        <is>
          <t>Passed</t>
        </is>
      </c>
      <c r="N12" s="20" t="n"/>
    </row>
    <row r="13" ht="23.25" customHeight="1" s="18">
      <c r="A13" s="20" t="inlineStr">
        <is>
          <t>EPIC-1: Saxlanmış alıcılar</t>
        </is>
      </c>
      <c r="B13" s="20" t="inlineStr">
        <is>
          <t>GRAD-102</t>
        </is>
      </c>
      <c r="C13" s="20" t="inlineStr">
        <is>
          <t>AC-1</t>
        </is>
      </c>
      <c r="D13" s="20" t="inlineStr">
        <is>
          <t>Parametrsiz → 200; total=items.length; ən yeni birinci</t>
        </is>
      </c>
      <c r="E13" s="20" t="inlineStr">
        <is>
          <t>Medium (3 SP)</t>
        </is>
      </c>
      <c r="F13" s="21" t="inlineStr">
        <is>
          <t>Tam</t>
        </is>
      </c>
      <c r="G13" s="20" t="inlineStr">
        <is>
          <t>gradListBeneficiaries.spec</t>
        </is>
      </c>
      <c r="H13" s="20" t="inlineStr">
        <is>
          <t>'Parametrsiz siyahı - defolt sıralama yeni-ucdan'</t>
        </is>
      </c>
      <c r="I13" s="20" t="n"/>
      <c r="J13" s="20" t="inlineStr">
        <is>
          <t>BeneficiaryListTest.ac1_noParams_defaultSortNewestFirst</t>
        </is>
      </c>
      <c r="K13" s="20" t="inlineStr">
        <is>
          <t>Avtomat — 2026-10-07 passed</t>
        </is>
      </c>
      <c r="L13" s="20" t="inlineStr">
        <is>
          <t>TC-API-BEN-102-06</t>
        </is>
      </c>
      <c r="M13" s="22" t="inlineStr">
        <is>
          <t>Passed</t>
        </is>
      </c>
      <c r="N13" s="20" t="n"/>
    </row>
    <row r="14" ht="23.25" customHeight="1" s="18">
      <c r="A14" s="20" t="inlineStr">
        <is>
          <t>EPIC-1: Saxlanmış alıcılar</t>
        </is>
      </c>
      <c r="B14" s="20" t="inlineStr">
        <is>
          <t>GRAD-102</t>
        </is>
      </c>
      <c r="C14" s="20" t="inlineStr">
        <is>
          <t>AC-2</t>
        </is>
      </c>
      <c r="D14" s="20" t="inlineStr">
        <is>
          <t>sort=fullName&amp;order=asc → əlifba sırası (AZ əlifbası)</t>
        </is>
      </c>
      <c r="E14" s="20" t="inlineStr">
        <is>
          <t>Medium (3 SP)</t>
        </is>
      </c>
      <c r="F14" s="21" t="inlineStr">
        <is>
          <t>Tam</t>
        </is>
      </c>
      <c r="G14" s="20" t="inlineStr">
        <is>
          <t>gradListBeneficiaries.spec</t>
        </is>
      </c>
      <c r="H14" s="20" t="inlineStr">
        <is>
          <t>'Adla sıralama - əlifba sırası ilə (asc)'</t>
        </is>
      </c>
      <c r="I14" s="20" t="n"/>
      <c r="J14" s="20" t="inlineStr">
        <is>
          <t>BeneficiaryListTest.ac2_sortByFullNameAsc</t>
        </is>
      </c>
      <c r="K14" s="20" t="inlineStr">
        <is>
          <t>Avtomat — 2026-10-07 passed</t>
        </is>
      </c>
      <c r="L14" s="20" t="inlineStr">
        <is>
          <t>TC-API-BEN-102-07</t>
        </is>
      </c>
      <c r="M14" s="22" t="inlineStr">
        <is>
          <t>Passed</t>
        </is>
      </c>
      <c r="N14" s="20" t="n"/>
    </row>
    <row r="15" ht="68.25" customHeight="1" s="18">
      <c r="A15" s="20" t="inlineStr">
        <is>
          <t>EPIC-1: Saxlanmış alıcılar</t>
        </is>
      </c>
      <c r="B15" s="20" t="inlineStr">
        <is>
          <t>GRAD-102</t>
        </is>
      </c>
      <c r="C15" s="20" t="inlineStr">
        <is>
          <t>AC-3</t>
        </is>
      </c>
      <c r="D15" s="20" t="inlineStr">
        <is>
          <t>currency=USD → yalnız USD alıcılar</t>
        </is>
      </c>
      <c r="E15" s="20" t="inlineStr">
        <is>
          <t>Medium (3 SP)</t>
        </is>
      </c>
      <c r="F15" s="23" t="inlineStr">
        <is>
          <t>Qismən</t>
        </is>
      </c>
      <c r="G15" s="20" t="inlineStr">
        <is>
          <t>gradListBeneficiaries.spec</t>
        </is>
      </c>
      <c r="H15" s="20" t="inlineStr">
        <is>
          <t>'Valyuta filtri - yalnız USD alıcılar'</t>
        </is>
      </c>
      <c r="I15" s="20" t="inlineStr">
        <is>
          <t>GAP: Bu ssenari 2 alıcı yaradır, lakin currency=USD ilə GET sorğusunu heç vaxt göndərmir və heç bir assertion etmir (spec faylı, sətir 69-101) — AC-3 həqiqətən test edilmir. Kombinə edilmiş filtr testi (Əlavə sətri) currency parametrini istifadə edir, amma təkbaşına AC-3-ü əhatə etmir.</t>
        </is>
      </c>
      <c r="J15" s="20" t="inlineStr">
        <is>
          <t>BeneficiaryListTest.ac3_currencyFilter_usdOnly</t>
        </is>
      </c>
      <c r="K15" s="20" t="inlineStr">
        <is>
          <t>Avtomat — 2026-10-07 passed</t>
        </is>
      </c>
      <c r="L15" s="20" t="inlineStr">
        <is>
          <t>TC-API-BEN-102-05</t>
        </is>
      </c>
      <c r="M15" s="22" t="inlineStr">
        <is>
          <t>Passed</t>
        </is>
      </c>
      <c r="N15" s="20" t="n"/>
    </row>
    <row r="16" ht="23.25" customHeight="1" s="18">
      <c r="A16" s="20" t="inlineStr">
        <is>
          <t>EPIC-1: Saxlanmış alıcılar</t>
        </is>
      </c>
      <c r="B16" s="20" t="inlineStr">
        <is>
          <t>GRAD-102</t>
        </is>
      </c>
      <c r="C16" s="20" t="inlineStr">
        <is>
          <t>AC-4</t>
        </is>
      </c>
      <c r="D16" s="20" t="inlineStr">
        <is>
          <t>q=NİGAR / q=NIGAR (nöqtəsiz I) → hər iki halda tapılır</t>
        </is>
      </c>
      <c r="E16" s="20" t="inlineStr">
        <is>
          <t>Medium (3 SP)</t>
        </is>
      </c>
      <c r="F16" s="21" t="inlineStr">
        <is>
          <t>Tam</t>
        </is>
      </c>
      <c r="G16" s="20" t="inlineStr">
        <is>
          <t>gradListBeneficiaries.spec</t>
        </is>
      </c>
      <c r="H16" s="20" t="inlineStr">
        <is>
          <t>'Case-folding axtarış - İ/I herf problemi'</t>
        </is>
      </c>
      <c r="I16" s="20" t="n"/>
      <c r="J16" s="20" t="inlineStr">
        <is>
          <t>BeneficiaryListTest.ac4_caseFoldingSearch_turkishIProblem</t>
        </is>
      </c>
      <c r="K16" s="20" t="inlineStr">
        <is>
          <t>Avtomat — 2026-10-07 passed</t>
        </is>
      </c>
      <c r="L16" s="20" t="inlineStr">
        <is>
          <t>TC-API-BEN-102-08</t>
        </is>
      </c>
      <c r="M16" s="22" t="inlineStr">
        <is>
          <t>Passed</t>
        </is>
      </c>
      <c r="N16" s="20" t="n"/>
    </row>
    <row r="17" ht="23.25" customHeight="1" s="18">
      <c r="A17" s="20" t="inlineStr">
        <is>
          <t>EPIC-1: Saxlanmış alıcılar</t>
        </is>
      </c>
      <c r="B17" s="20" t="inlineStr">
        <is>
          <t>GRAD-102</t>
        </is>
      </c>
      <c r="C17" s="20" t="inlineStr">
        <is>
          <t>AC-5</t>
        </is>
      </c>
      <c r="D17" s="20" t="inlineStr">
        <is>
          <t>q ləqəbin bir hissəsidir → ləqəbə görə də tapılır</t>
        </is>
      </c>
      <c r="E17" s="20" t="inlineStr">
        <is>
          <t>Medium (3 SP)</t>
        </is>
      </c>
      <c r="F17" s="21" t="inlineStr">
        <is>
          <t>Tam</t>
        </is>
      </c>
      <c r="G17" s="20" t="inlineStr">
        <is>
          <t>gradListBeneficiaries.spec</t>
        </is>
      </c>
      <c r="H17" s="20" t="inlineStr">
        <is>
          <t>'Ləqəbin bir hissəsi ile axtarış'</t>
        </is>
      </c>
      <c r="I17" s="20" t="n"/>
      <c r="J17" s="20" t="inlineStr">
        <is>
          <t>BeneficiaryListTest.ac5_nicknamePartialSearch</t>
        </is>
      </c>
      <c r="K17" s="20" t="inlineStr">
        <is>
          <t>Avtomat — 2026-10-07 passed</t>
        </is>
      </c>
      <c r="L17" s="20" t="inlineStr">
        <is>
          <t>TC-API-BEN-102-11</t>
        </is>
      </c>
      <c r="M17" s="22" t="inlineStr">
        <is>
          <t>Passed</t>
        </is>
      </c>
      <c r="N17" s="20" t="n"/>
    </row>
    <row r="18" ht="23.25" customHeight="1" s="18">
      <c r="A18" s="20" t="inlineStr">
        <is>
          <t>EPIC-1: Saxlanmış alıcılar</t>
        </is>
      </c>
      <c r="B18" s="20" t="inlineStr">
        <is>
          <t>GRAD-102</t>
        </is>
      </c>
      <c r="C18" s="20" t="inlineStr">
        <is>
          <t>AC-6</t>
        </is>
      </c>
      <c r="D18" s="20" t="inlineStr">
        <is>
          <t>q=a (1 simvol) → 400 VALIDATION_ERROR, field:q</t>
        </is>
      </c>
      <c r="E18" s="20" t="inlineStr">
        <is>
          <t>Medium (3 SP)</t>
        </is>
      </c>
      <c r="F18" s="21" t="inlineStr">
        <is>
          <t>Tam</t>
        </is>
      </c>
      <c r="G18" s="20" t="inlineStr">
        <is>
          <t>gradListBeneficiaries.spec</t>
        </is>
      </c>
      <c r="H18" s="20" t="inlineStr">
        <is>
          <t>'q parametri minimum uzunluqdan qısadır'</t>
        </is>
      </c>
      <c r="I18" s="20" t="n"/>
      <c r="J18" s="20" t="inlineStr">
        <is>
          <t>BeneficiaryListTest.ac6_qTooShort_returns400ValidationError</t>
        </is>
      </c>
      <c r="K18" s="20" t="inlineStr">
        <is>
          <t>Avtomat — 2026-10-07 passed</t>
        </is>
      </c>
      <c r="L18" s="20" t="inlineStr">
        <is>
          <t>TC-API-BEN-102-03</t>
        </is>
      </c>
      <c r="M18" s="22" t="inlineStr">
        <is>
          <t>Passed</t>
        </is>
      </c>
      <c r="N18" s="20" t="n"/>
    </row>
    <row r="19" ht="23.25" customHeight="1" s="18">
      <c r="A19" s="20" t="inlineStr">
        <is>
          <t>EPIC-1: Saxlanmış alıcılar</t>
        </is>
      </c>
      <c r="B19" s="20" t="inlineStr">
        <is>
          <t>GRAD-102</t>
        </is>
      </c>
      <c r="C19" s="20" t="inlineStr">
        <is>
          <t>AC-7</t>
        </is>
      </c>
      <c r="D19" s="20" t="inlineStr">
        <is>
          <t>Heç nə tapılmır → 200, total:0, items:[]</t>
        </is>
      </c>
      <c r="E19" s="20" t="inlineStr">
        <is>
          <t>Medium (3 SP)</t>
        </is>
      </c>
      <c r="F19" s="21" t="inlineStr">
        <is>
          <t>Tam</t>
        </is>
      </c>
      <c r="G19" s="20" t="inlineStr">
        <is>
          <t>gradListBeneficiaries.spec</t>
        </is>
      </c>
      <c r="H19" s="20" t="inlineStr">
        <is>
          <t>'Mövcud olmayan adla axtarış - heç ne tapılmır'</t>
        </is>
      </c>
      <c r="I19" s="20" t="n"/>
      <c r="J19" s="20" t="inlineStr">
        <is>
          <t>BeneficiaryListTest.ac7_noResults_returns200EmptyList</t>
        </is>
      </c>
      <c r="K19" s="20" t="inlineStr">
        <is>
          <t>Avtomat — 2026-10-07 passed</t>
        </is>
      </c>
      <c r="L19" s="20" t="inlineStr">
        <is>
          <t>TC-API-BEN-102-02</t>
        </is>
      </c>
      <c r="M19" s="22" t="inlineStr">
        <is>
          <t>Passed</t>
        </is>
      </c>
      <c r="N19" s="20" t="n"/>
    </row>
    <row r="20" ht="45.75" customHeight="1" s="18">
      <c r="A20" s="20" t="inlineStr">
        <is>
          <t>EPIC-1: Saxlanmış alıcılar</t>
        </is>
      </c>
      <c r="B20" s="20" t="inlineStr">
        <is>
          <t>GRAD-102</t>
        </is>
      </c>
      <c r="C20" s="20" t="inlineStr">
        <is>
          <t>Əlavə</t>
        </is>
      </c>
      <c r="D20" s="20" t="inlineStr">
        <is>
          <t>Token yoxdur → 401; etibarsız sort dəyəri → 400; SQLi (q) → 200-400 aralığı; kombinə edilmiş filtrlər (q+currency+sort+order)</t>
        </is>
      </c>
      <c r="E20" s="20" t="inlineStr">
        <is>
          <t>Medium (3 SP)</t>
        </is>
      </c>
      <c r="F20" s="21" t="inlineStr">
        <is>
          <t>Tam (AC-dən əlavə)</t>
        </is>
      </c>
      <c r="G20" s="20" t="inlineStr">
        <is>
          <t>gradListBeneficiaries.spec</t>
        </is>
      </c>
      <c r="H20" s="20" t="inlineStr">
        <is>
          <t>'Token olmadan GET', 'Etibarsız sort dəyeri', 'SQL-injection...', 'Kombinə edilmiş filtrlər...'</t>
        </is>
      </c>
      <c r="I20" s="20" t="inlineStr">
        <is>
          <t>Kombinə edilmiş filtr testi AC-2/3/4-ü birlikdə əlavə təsdiqləyir.</t>
        </is>
      </c>
      <c r="J20" s="20" t="inlineStr">
        <is>
          <t>BeneficiaryListTest.extra_noToken_returns401
BeneficiaryListTest.extra_sqlInjectionInQ_returns200to400
BeneficiaryListTest.extra_invalidSortValue_returns400
BeneficiaryListTest.extra_combinedFilters_qCurrencySortOrder</t>
        </is>
      </c>
      <c r="K20" s="20" t="inlineStr">
        <is>
          <t>Avtomat — 2026-10-07 passed</t>
        </is>
      </c>
      <c r="L20" s="20" t="inlineStr">
        <is>
          <t>TC-API-BEN-102-01
TC-API-BEN-102-04
TC-API-BEN-102-09
TC-API-BEN-102-10</t>
        </is>
      </c>
      <c r="M20" s="22" t="inlineStr">
        <is>
          <t>Passed</t>
        </is>
      </c>
      <c r="N20" s="20" t="n"/>
    </row>
    <row r="21" ht="23.25" customHeight="1" s="18">
      <c r="A21" s="20" t="inlineStr">
        <is>
          <t>EPIC-1: Saxlanmış alıcılar</t>
        </is>
      </c>
      <c r="B21" s="20" t="inlineStr">
        <is>
          <t>GRAD-103</t>
        </is>
      </c>
      <c r="C21" s="20" t="inlineStr">
        <is>
          <t>AC-1</t>
        </is>
      </c>
      <c r="D21" s="20" t="inlineStr">
        <is>
          <t>Mövcud alıcı silinir → 204, body boşdur</t>
        </is>
      </c>
      <c r="E21" s="20" t="inlineStr">
        <is>
          <t>Medium (2 SP)</t>
        </is>
      </c>
      <c r="F21" s="21" t="inlineStr">
        <is>
          <t>Tam</t>
        </is>
      </c>
      <c r="G21" s="20" t="inlineStr">
        <is>
          <t>gradDeleteBeneficiary.spec</t>
        </is>
      </c>
      <c r="H21" s="20" t="inlineStr">
        <is>
          <t>'Movcud alicini silmek'</t>
        </is>
      </c>
      <c r="I21" s="20" t="n"/>
      <c r="J21" s="20" t="inlineStr">
        <is>
          <t>BeneficiaryDeleteTest.ac1_deleteExistingBeneficiary_returns204EmptyBody</t>
        </is>
      </c>
      <c r="K21" s="20" t="inlineStr">
        <is>
          <t>Avtomat — 2026-10-07 passed</t>
        </is>
      </c>
      <c r="L21" s="20" t="inlineStr">
        <is>
          <t>TC-API-BEN-103-01</t>
        </is>
      </c>
      <c r="M21" s="22" t="inlineStr">
        <is>
          <t>Passed</t>
        </is>
      </c>
      <c r="N21" s="20" t="n"/>
    </row>
    <row r="22" ht="23.25" customHeight="1" s="18">
      <c r="A22" s="20" t="inlineStr">
        <is>
          <t>EPIC-1: Saxlanmış alıcılar</t>
        </is>
      </c>
      <c r="B22" s="20" t="inlineStr">
        <is>
          <t>GRAD-103</t>
        </is>
      </c>
      <c r="C22" s="20" t="inlineStr">
        <is>
          <t>AC-2</t>
        </is>
      </c>
      <c r="D22" s="20" t="inlineStr">
        <is>
          <t>Silinmiş alıcı siyahıda yoxdur, total 1 azalıb</t>
        </is>
      </c>
      <c r="E22" s="20" t="inlineStr">
        <is>
          <t>Medium (2 SP)</t>
        </is>
      </c>
      <c r="F22" s="21" t="inlineStr">
        <is>
          <t>Tam</t>
        </is>
      </c>
      <c r="G22" s="20" t="inlineStr">
        <is>
          <t>gradDeleteBeneficiary.spec</t>
        </is>
      </c>
      <c r="H22" s="20" t="inlineStr">
        <is>
          <t>'Silinmiş alıcı siyahıda görünmür'</t>
        </is>
      </c>
      <c r="I22" s="20" t="n"/>
      <c r="J22" s="20" t="inlineStr">
        <is>
          <t>BeneficiaryDeleteTest.ac2_deletedBeneficiaryNotInList_totalDecreasesByOne</t>
        </is>
      </c>
      <c r="K22" s="20" t="inlineStr">
        <is>
          <t>Avtomat — 2026-10-07 passed</t>
        </is>
      </c>
      <c r="L22" s="20" t="inlineStr">
        <is>
          <t>TC-API-BEN-103-02</t>
        </is>
      </c>
      <c r="M22" s="22" t="inlineStr">
        <is>
          <t>Passed</t>
        </is>
      </c>
      <c r="N22" s="20" t="n"/>
    </row>
    <row r="23" ht="23.25" customHeight="1" s="18">
      <c r="A23" s="20" t="inlineStr">
        <is>
          <t>EPIC-1: Saxlanmış alıcılar</t>
        </is>
      </c>
      <c r="B23" s="20" t="inlineStr">
        <is>
          <t>GRAD-103</t>
        </is>
      </c>
      <c r="C23" s="20" t="inlineStr">
        <is>
          <t>AC-3</t>
        </is>
      </c>
      <c r="D23" s="20" t="inlineStr">
        <is>
          <t>Eyni id ikinci dəfə silinir → 404 NOT_FOUND</t>
        </is>
      </c>
      <c r="E23" s="20" t="inlineStr">
        <is>
          <t>Medium (2 SP)</t>
        </is>
      </c>
      <c r="F23" s="21" t="inlineStr">
        <is>
          <t>Tam</t>
        </is>
      </c>
      <c r="G23" s="20" t="inlineStr">
        <is>
          <t>gradDeleteBeneficiary.spec</t>
        </is>
      </c>
      <c r="H23" s="20" t="inlineStr">
        <is>
          <t>'Eyni id ikinci defe silinir'</t>
        </is>
      </c>
      <c r="I23" s="20" t="n"/>
      <c r="J23" s="20" t="inlineStr">
        <is>
          <t>BeneficiaryDeleteTest.ac3_sameIdDeletedTwice_secondReturns404</t>
        </is>
      </c>
      <c r="K23" s="20" t="inlineStr">
        <is>
          <t>Avtomat — 2026-10-07 passed</t>
        </is>
      </c>
      <c r="L23" s="20" t="inlineStr">
        <is>
          <t>TC-API-BEN-103-03</t>
        </is>
      </c>
      <c r="M23" s="22" t="inlineStr">
        <is>
          <t>Passed</t>
        </is>
      </c>
      <c r="N23" s="20" t="n"/>
    </row>
    <row r="24" ht="23.25" customHeight="1" s="18">
      <c r="A24" s="20" t="inlineStr">
        <is>
          <t>EPIC-1: Saxlanmış alıcılar</t>
        </is>
      </c>
      <c r="B24" s="20" t="inlineStr">
        <is>
          <t>GRAD-103</t>
        </is>
      </c>
      <c r="C24" s="20" t="inlineStr">
        <is>
          <t>AC-4</t>
        </is>
      </c>
      <c r="D24" s="20" t="inlineStr">
        <is>
          <t>user2 user1-in alıcı id-si ilə silməyə çalışır → 404 (403 yox) (IDOR)</t>
        </is>
      </c>
      <c r="E24" s="20" t="inlineStr">
        <is>
          <t>Medium (2 SP)</t>
        </is>
      </c>
      <c r="F24" s="21" t="inlineStr">
        <is>
          <t>Tam</t>
        </is>
      </c>
      <c r="G24" s="20" t="inlineStr">
        <is>
          <t>gradDeleteBeneficiary.spec</t>
        </is>
      </c>
      <c r="H24" s="20" t="inlineStr">
        <is>
          <t>'Başqa istifadəçinin alıcısını silmək (IDOR)'</t>
        </is>
      </c>
      <c r="I24" s="20" t="n"/>
      <c r="J24" s="20" t="inlineStr">
        <is>
          <t>BeneficiaryDeleteTest.ac4_idorAnotherUsersBeneficiary_returns404NotFound</t>
        </is>
      </c>
      <c r="K24" s="20" t="inlineStr">
        <is>
          <t>Avtomat — 2026-10-07 passed</t>
        </is>
      </c>
      <c r="L24" s="20" t="inlineStr">
        <is>
          <t>TC-API-BEN-103-06</t>
        </is>
      </c>
      <c r="M24" s="22" t="inlineStr">
        <is>
          <t>Passed</t>
        </is>
      </c>
      <c r="N24" s="20" t="n"/>
    </row>
    <row r="25" ht="34.5" customHeight="1" s="18">
      <c r="A25" s="20" t="inlineStr">
        <is>
          <t>EPIC-1: Saxlanmış alıcılar</t>
        </is>
      </c>
      <c r="B25" s="20" t="inlineStr">
        <is>
          <t>GRAD-103</t>
        </is>
      </c>
      <c r="C25" s="20" t="inlineStr">
        <is>
          <t>Əlavə</t>
        </is>
      </c>
      <c r="D25" s="20" t="inlineStr">
        <is>
          <t>Token olmadan DELETE → 401; mövcud olmayan id → 404</t>
        </is>
      </c>
      <c r="E25" s="20" t="inlineStr">
        <is>
          <t>Medium (2 SP)</t>
        </is>
      </c>
      <c r="F25" s="21" t="inlineStr">
        <is>
          <t>Tam (AC-dən əlavə)</t>
        </is>
      </c>
      <c r="G25" s="20" t="inlineStr">
        <is>
          <t>gradDeleteBeneficiary.spec</t>
        </is>
      </c>
      <c r="H25" s="20" t="inlineStr">
        <is>
          <t>'Token olmadan DELETE sorğusu', 'Movcud olmayan id ile DELETE'</t>
        </is>
      </c>
      <c r="I25" s="20" t="n"/>
      <c r="J25" s="20" t="inlineStr">
        <is>
          <t>BeneficiaryDeleteTest.extra_noToken_returns401
BeneficiaryDeleteTest.extra_nonExistentId_returns404</t>
        </is>
      </c>
      <c r="K25" s="20" t="inlineStr">
        <is>
          <t>Avtomat — 2026-10-07 passed</t>
        </is>
      </c>
      <c r="L25" s="20" t="inlineStr">
        <is>
          <t>TC-API-BEN-103-04
TC-API-BEN-103-05</t>
        </is>
      </c>
      <c r="M25" s="22" t="inlineStr">
        <is>
          <t>Passed</t>
        </is>
      </c>
      <c r="N25" s="20" t="n"/>
    </row>
    <row r="26" ht="34.5" customHeight="1" s="18">
      <c r="A26" s="20" t="inlineStr">
        <is>
          <t>EPIC-2: Virtual kartlar</t>
        </is>
      </c>
      <c r="B26" s="20" t="inlineStr">
        <is>
          <t>GRAD-201</t>
        </is>
      </c>
      <c r="C26" s="20" t="inlineStr">
        <is>
          <t>AC-1</t>
        </is>
      </c>
      <c r="D26" s="20" t="inlineStr">
        <is>
          <t>Etibarlı sorğu → 201; status ACTIVE; availableBalance=initialAmount; limitlər 500/300; spentToday 0</t>
        </is>
      </c>
      <c r="E26" s="20" t="inlineStr">
        <is>
          <t>High (5 SP)</t>
        </is>
      </c>
      <c r="F26" s="21" t="inlineStr">
        <is>
          <t>Tam</t>
        </is>
      </c>
      <c r="G26" s="20" t="inlineStr">
        <is>
          <t>gradCreateCard.spec</t>
        </is>
      </c>
      <c r="H26" s="20" t="inlineStr">
        <is>
          <t>'Etibarlı kart buraxılışı'</t>
        </is>
      </c>
      <c r="I26" s="20" t="n"/>
      <c r="J26" s="20" t="inlineStr">
        <is>
          <t>CardCreateTest.validCardCreation_returns201WithAllFields
CardCreateTest.labelNotSent_returnsNullLabel</t>
        </is>
      </c>
      <c r="K26" s="20" t="inlineStr">
        <is>
          <t>Avtomat — 2026-10-07 passed</t>
        </is>
      </c>
      <c r="L26" s="20" t="inlineStr">
        <is>
          <t>TC-API-CARD-201-01
TC-API-CARD-201-11</t>
        </is>
      </c>
      <c r="M26" s="22" t="inlineStr">
        <is>
          <t>Passed</t>
        </is>
      </c>
      <c r="N26" s="20" t="n"/>
    </row>
    <row r="27" ht="34.5" customHeight="1" s="18">
      <c r="A27" s="20" t="inlineStr">
        <is>
          <t>EPIC-2: Virtual kartlar</t>
        </is>
      </c>
      <c r="B27" s="20" t="inlineStr">
        <is>
          <t>GRAD-201</t>
        </is>
      </c>
      <c r="C27" s="20" t="inlineStr">
        <is>
          <t>AC-2</t>
        </is>
      </c>
      <c r="D27" s="20" t="inlineStr">
        <is>
          <t>maskedPan '4169 73** **** NNNN' formatı; expiry MM/YY — bu gündən 3 il sonra</t>
        </is>
      </c>
      <c r="E27" s="20" t="inlineStr">
        <is>
          <t>High (5 SP)</t>
        </is>
      </c>
      <c r="F27" s="23" t="inlineStr">
        <is>
          <t>Qismən</t>
        </is>
      </c>
      <c r="G27" s="20" t="inlineStr">
        <is>
          <t>gradCreateCard.spec</t>
        </is>
      </c>
      <c r="H27" s="20" t="inlineStr">
        <is>
          <t>'maskedPan/expiry formatı'</t>
        </is>
      </c>
      <c r="I27" s="20" t="inlineStr">
        <is>
          <t>Yalnız regex formatı (MM/YY) yoxlanılır; expiry-nin DƏQIQ 'bu gündən 3 il sonra' olduğu heç bir assertion-da hesablanıb müqayisə edilmir.</t>
        </is>
      </c>
      <c r="J27" s="20" t="inlineStr">
        <is>
          <t>CardCreateTest.maskedPanAndExpiry_matchExpectedFormat</t>
        </is>
      </c>
      <c r="K27" s="20" t="inlineStr">
        <is>
          <t>Avtomat — 2026-10-07 passed</t>
        </is>
      </c>
      <c r="L27" s="20" t="inlineStr">
        <is>
          <t>TC-API-CARD-201-02</t>
        </is>
      </c>
      <c r="M27" s="22" t="inlineStr">
        <is>
          <t>Passed</t>
        </is>
      </c>
      <c r="N27" s="20" t="n"/>
    </row>
    <row r="28" ht="15" customHeight="1" s="18">
      <c r="A28" s="20" t="inlineStr">
        <is>
          <t>EPIC-2: Virtual kartlar</t>
        </is>
      </c>
      <c r="B28" s="20" t="inlineStr">
        <is>
          <t>GRAD-201</t>
        </is>
      </c>
      <c r="C28" s="20" t="inlineStr">
        <is>
          <t>AC-3</t>
        </is>
      </c>
      <c r="D28" s="20" t="inlineStr">
        <is>
          <t>initialAmount 0.99/1000.01 rədd; 1.00/1000.00 qəbul</t>
        </is>
      </c>
      <c r="E28" s="20" t="inlineStr">
        <is>
          <t>High (5 SP)</t>
        </is>
      </c>
      <c r="F28" s="21" t="inlineStr">
        <is>
          <t>Tam</t>
        </is>
      </c>
      <c r="G28" s="20" t="inlineStr">
        <is>
          <t>gradCreateCard.spec</t>
        </is>
      </c>
      <c r="H28" s="20" t="inlineStr">
        <is>
          <t>'initialAmount sərhədi (BVA)'</t>
        </is>
      </c>
      <c r="I28" s="20" t="n"/>
      <c r="J28" s="20" t="inlineStr">
        <is>
          <t>CardCreateTest.initialAmountBoundary_rejectsOrAccepts</t>
        </is>
      </c>
      <c r="K28" s="20" t="inlineStr">
        <is>
          <t>Avtomat — 2026-10-07 passed</t>
        </is>
      </c>
      <c r="L28" s="20" t="inlineStr">
        <is>
          <t>TC-API-CARD-201-03</t>
        </is>
      </c>
      <c r="M28" s="22" t="inlineStr">
        <is>
          <t>Passed</t>
        </is>
      </c>
      <c r="N28" s="20" t="n"/>
    </row>
    <row r="29" ht="15" customHeight="1" s="18">
      <c r="A29" s="20" t="inlineStr">
        <is>
          <t>EPIC-2: Virtual kartlar</t>
        </is>
      </c>
      <c r="B29" s="20" t="inlineStr">
        <is>
          <t>GRAD-201</t>
        </is>
      </c>
      <c r="C29" s="20" t="inlineStr">
        <is>
          <t>AC-4</t>
        </is>
      </c>
      <c r="D29" s="20" t="inlineStr">
        <is>
          <t>initialAmount mətn ("50") və ya 10.555 → 400</t>
        </is>
      </c>
      <c r="E29" s="20" t="inlineStr">
        <is>
          <t>High (5 SP)</t>
        </is>
      </c>
      <c r="F29" s="21" t="inlineStr">
        <is>
          <t>Tam</t>
        </is>
      </c>
      <c r="G29" s="20" t="inlineStr">
        <is>
          <t>gradCreateCard.spec</t>
        </is>
      </c>
      <c r="H29" s="20" t="inlineStr">
        <is>
          <t>'initialAmount format xətaları'</t>
        </is>
      </c>
      <c r="I29" s="20" t="n"/>
      <c r="J29" s="20" t="inlineStr">
        <is>
          <t>CardCreateTest.initialAmountFormatErrors_return400</t>
        </is>
      </c>
      <c r="K29" s="20" t="inlineStr">
        <is>
          <t>Avtomat — 2026-10-07 passed</t>
        </is>
      </c>
      <c r="L29" s="20" t="inlineStr">
        <is>
          <t>TC-API-CARD-201-04</t>
        </is>
      </c>
      <c r="M29" s="22" t="inlineStr">
        <is>
          <t>Passed</t>
        </is>
      </c>
      <c r="N29" s="20" t="n"/>
    </row>
    <row r="30" ht="23.25" customHeight="1" s="18">
      <c r="A30" s="20" t="inlineStr">
        <is>
          <t>EPIC-2: Virtual kartlar</t>
        </is>
      </c>
      <c r="B30" s="20" t="inlineStr">
        <is>
          <t>GRAD-201</t>
        </is>
      </c>
      <c r="C30" s="20" t="inlineStr">
        <is>
          <t>AC-5</t>
        </is>
      </c>
      <c r="D30" s="20" t="inlineStr">
        <is>
          <t>user1 acc_003 (özünə aid olmayan hesab) ilə kart açır → 403 FORBIDDEN</t>
        </is>
      </c>
      <c r="E30" s="20" t="inlineStr">
        <is>
          <t>High (5 SP)</t>
        </is>
      </c>
      <c r="F30" s="21" t="inlineStr">
        <is>
          <t>Tam</t>
        </is>
      </c>
      <c r="G30" s="20" t="inlineStr">
        <is>
          <t>gradCreateCard.spec</t>
        </is>
      </c>
      <c r="H30" s="20" t="inlineStr">
        <is>
          <t>'Başqasının hesabı ilə kart açmaq'</t>
        </is>
      </c>
      <c r="I30" s="20" t="n"/>
      <c r="J30" s="20" t="inlineStr">
        <is>
          <t>CardCreateTest.anotherUsersAccount_returns403</t>
        </is>
      </c>
      <c r="K30" s="20" t="inlineStr">
        <is>
          <t>Avtomat — 2026-10-07 passed</t>
        </is>
      </c>
      <c r="L30" s="20" t="inlineStr">
        <is>
          <t>TC-API-CARD-201-05</t>
        </is>
      </c>
      <c r="M30" s="22" t="inlineStr">
        <is>
          <t>Passed</t>
        </is>
      </c>
      <c r="N30" s="20" t="n"/>
    </row>
    <row r="31" ht="23.25" customHeight="1" s="18">
      <c r="A31" s="20" t="inlineStr">
        <is>
          <t>EPIC-2: Virtual kartlar</t>
        </is>
      </c>
      <c r="B31" s="20" t="inlineStr">
        <is>
          <t>GRAD-201</t>
        </is>
      </c>
      <c r="C31" s="20" t="inlineStr">
        <is>
          <t>AC-6</t>
        </is>
      </c>
      <c r="D31" s="20" t="inlineStr">
        <is>
          <t>user2 891 yükləmək istəyir (balans 890.50) → 422 INSUFFICIENT_FUNDS</t>
        </is>
      </c>
      <c r="E31" s="20" t="inlineStr">
        <is>
          <t>High (5 SP)</t>
        </is>
      </c>
      <c r="F31" s="24" t="inlineStr">
        <is>
          <t>YOXDUR</t>
        </is>
      </c>
      <c r="G31" s="20" t="inlineStr">
        <is>
          <t>gradCreateCard.spec</t>
        </is>
      </c>
      <c r="H31" s="20" t="inlineStr">
        <is>
          <t>—</t>
        </is>
      </c>
      <c r="I31" s="20" t="inlineStr">
        <is>
          <t>gradCreateCard.spec-də bu ssenari YOXDUR. Heç bir fayl bu AC-ni avtomatlaşdırmır. GAP.</t>
        </is>
      </c>
      <c r="J31" s="20" t="inlineStr">
        <is>
          <t>CardCreateTest.ac6_initialAmountExceedsAvailableBalance_returns422InsufficientFunds</t>
        </is>
      </c>
      <c r="K31" s="20" t="inlineStr">
        <is>
          <t>Avtomat — 2026-10-07 passed</t>
        </is>
      </c>
      <c r="L31" s="20" t="inlineStr">
        <is>
          <t>TC-API-CARD-201-12</t>
        </is>
      </c>
      <c r="M31" s="22" t="inlineStr">
        <is>
          <t>Passed</t>
        </is>
      </c>
      <c r="N31" s="20" t="n"/>
    </row>
    <row r="32" ht="23.25" customHeight="1" s="18">
      <c r="A32" s="20" t="inlineStr">
        <is>
          <t>EPIC-2: Virtual kartlar</t>
        </is>
      </c>
      <c r="B32" s="20" t="inlineStr">
        <is>
          <t>GRAD-201</t>
        </is>
      </c>
      <c r="C32" s="20" t="inlineStr">
        <is>
          <t>AC-7</t>
        </is>
      </c>
      <c r="D32" s="20" t="inlineStr">
        <is>
          <t>3 ACTIVE/FROZEN kart var, 4-cü açılır → 422 CARD_LIMIT_REACHED</t>
        </is>
      </c>
      <c r="E32" s="20" t="inlineStr">
        <is>
          <t>High (5 SP)</t>
        </is>
      </c>
      <c r="F32" s="21" t="inlineStr">
        <is>
          <t>Tam</t>
        </is>
      </c>
      <c r="G32" s="20" t="inlineStr">
        <is>
          <t>gradCreateCard.spec</t>
        </is>
      </c>
      <c r="H32" s="20" t="inlineStr">
        <is>
          <t>'Kart limiti (3) aşılır'</t>
        </is>
      </c>
      <c r="I32" s="20" t="n"/>
      <c r="J32" s="20" t="inlineStr">
        <is>
          <t>CardCreateTest.cardLimitExceeded_fourthCardReturns422</t>
        </is>
      </c>
      <c r="K32" s="20" t="inlineStr">
        <is>
          <t>Avtomat — 2026-10-07 passed</t>
        </is>
      </c>
      <c r="L32" s="20" t="inlineStr">
        <is>
          <t>TC-API-CARD-201-06</t>
        </is>
      </c>
      <c r="M32" s="22" t="inlineStr">
        <is>
          <t>Passed</t>
        </is>
      </c>
      <c r="N32" s="20" t="n"/>
    </row>
    <row r="33" ht="23.25" customHeight="1" s="18">
      <c r="A33" s="20" t="inlineStr">
        <is>
          <t>EPIC-2: Virtual kartlar</t>
        </is>
      </c>
      <c r="B33" s="20" t="inlineStr">
        <is>
          <t>GRAD-201</t>
        </is>
      </c>
      <c r="C33" s="20" t="inlineStr">
        <is>
          <t>AC-8</t>
        </is>
      </c>
      <c r="D33" s="20" t="inlineStr">
        <is>
          <t>Kartlardan biri BLOCKED edilib, yeni kart açılır → 201 (BLOCKED limitə sayılmır)</t>
        </is>
      </c>
      <c r="E33" s="20" t="inlineStr">
        <is>
          <t>High (5 SP)</t>
        </is>
      </c>
      <c r="F33" s="24" t="inlineStr">
        <is>
          <t>YOXDUR</t>
        </is>
      </c>
      <c r="G33" s="20" t="inlineStr">
        <is>
          <t>gradCreateCard.spec</t>
        </is>
      </c>
      <c r="H33" s="20" t="inlineStr">
        <is>
          <t>—</t>
        </is>
      </c>
      <c r="I33" s="20" t="inlineStr">
        <is>
          <t>Heç bir spec faylında test olunmur. GAP.</t>
        </is>
      </c>
      <c r="J33" s="20" t="inlineStr">
        <is>
          <t>CardCreateTest.ac8_blockedCardDoesNotCountTowardActiveCardLimit</t>
        </is>
      </c>
      <c r="K33" s="20" t="inlineStr">
        <is>
          <t>Avtomat — 2026-10-07 passed</t>
        </is>
      </c>
      <c r="L33" s="20" t="inlineStr">
        <is>
          <t>TC-API-CARD-201-13</t>
        </is>
      </c>
      <c r="M33" s="22" t="inlineStr">
        <is>
          <t>Passed</t>
        </is>
      </c>
      <c r="N33" s="20" t="n"/>
    </row>
    <row r="34" ht="45.75" customHeight="1" s="18">
      <c r="A34" s="20" t="inlineStr">
        <is>
          <t>EPIC-2: Virtual kartlar</t>
        </is>
      </c>
      <c r="B34" s="20" t="inlineStr">
        <is>
          <t>GRAD-201</t>
        </is>
      </c>
      <c r="C34" s="20" t="inlineStr">
        <is>
          <t>Əlavə</t>
        </is>
      </c>
      <c r="D34" s="20" t="inlineStr">
        <is>
          <t>Mövcud olmayan accountId → 404; token yox/saxta → 401; XSS label (qəbul, sanitize olunmur); label yoxdursa null</t>
        </is>
      </c>
      <c r="E34" s="20" t="inlineStr">
        <is>
          <t>High (5 SP)</t>
        </is>
      </c>
      <c r="F34" s="21" t="inlineStr">
        <is>
          <t>Tam (AC-dən əlavə)</t>
        </is>
      </c>
      <c r="G34" s="20" t="inlineStr">
        <is>
          <t>gradCreateCard.spec</t>
        </is>
      </c>
      <c r="H34" s="20" t="inlineStr">
        <is>
          <t>'Mövcud olmayan accountId', 'Token yoxdur', 'Saxta token', 'XSS payload - label', 'label göndərilmədikdə null'</t>
        </is>
      </c>
      <c r="I34" s="20" t="inlineStr">
        <is>
          <t>XSS testi label-in sanitize olunmadığını (security tapıntısı deyil, davranış qeydi) göstərir.</t>
        </is>
      </c>
      <c r="J34" s="20" t="inlineStr">
        <is>
          <t>CardCreateTest.nonExistentAccountId_returns404
CardCreateTest.noToken_returns401
CardCreateTest.fakeToken_returns401
CardCreateTest.xssPayloadInLabel_returns201WithLabelEchoedVerbatim</t>
        </is>
      </c>
      <c r="K34" s="20" t="inlineStr">
        <is>
          <t>Avtomat — 2026-10-07 passed</t>
        </is>
      </c>
      <c r="L34" s="20" t="inlineStr">
        <is>
          <t>TC-API-CARD-201-07
TC-API-CARD-201-08
TC-API-CARD-201-09
TC-API-CARD-201-10</t>
        </is>
      </c>
      <c r="M34" s="22" t="inlineStr">
        <is>
          <t>Passed</t>
        </is>
      </c>
      <c r="N34" s="20" t="n"/>
    </row>
    <row r="35" ht="23.25" customHeight="1" s="18">
      <c r="A35" s="20" t="inlineStr">
        <is>
          <t>EPIC-2: Virtual kartlar</t>
        </is>
      </c>
      <c r="B35" s="20" t="inlineStr">
        <is>
          <t>GRAD-202</t>
        </is>
      </c>
      <c r="C35" s="20" t="inlineStr">
        <is>
          <t>AC-1</t>
        </is>
      </c>
      <c r="D35" s="20" t="inlineStr">
        <is>
          <t>Yeni buraxılmış kart → GET nəticəsi POST cavabı ilə eynidir</t>
        </is>
      </c>
      <c r="E35" s="20" t="inlineStr">
        <is>
          <t>Medium (2 SP)</t>
        </is>
      </c>
      <c r="F35" s="21" t="inlineStr">
        <is>
          <t>Tam</t>
        </is>
      </c>
      <c r="G35" s="20" t="inlineStr">
        <is>
          <t>gradGetCard.spec</t>
        </is>
      </c>
      <c r="H35" s="20" t="inlineStr">
        <is>
          <t>'#46 Yeni buraxılmış kartın məlumatı'</t>
        </is>
      </c>
      <c r="I35" s="20" t="n"/>
      <c r="J35" s="20" t="inlineStr">
        <is>
          <t>CardGetTest.newlyIssuedCard_returnsMatchingDetails</t>
        </is>
      </c>
      <c r="K35" s="20" t="inlineStr">
        <is>
          <t>Avtomat — 2026-10-07 passed</t>
        </is>
      </c>
      <c r="L35" s="20" t="inlineStr">
        <is>
          <t>TC-API-CARD-202-01</t>
        </is>
      </c>
      <c r="M35" s="22" t="inlineStr">
        <is>
          <t>Passed</t>
        </is>
      </c>
      <c r="N35" s="20" t="n"/>
    </row>
    <row r="36" ht="34.5" customHeight="1" s="18">
      <c r="A36" s="20" t="inlineStr">
        <is>
          <t>EPIC-2: Virtual kartlar</t>
        </is>
      </c>
      <c r="B36" s="20" t="inlineStr">
        <is>
          <t>GRAD-202</t>
        </is>
      </c>
      <c r="C36" s="20" t="inlineStr">
        <is>
          <t>AC-2</t>
        </is>
      </c>
      <c r="D36" s="20" t="inlineStr">
        <is>
          <t>50.50 AZN ödənişdən sonra availableBalance azalıb, spentToday artıb</t>
        </is>
      </c>
      <c r="E36" s="20" t="inlineStr">
        <is>
          <t>Medium (2 SP)</t>
        </is>
      </c>
      <c r="F36" s="23" t="inlineStr">
        <is>
          <t>Qismən</t>
        </is>
      </c>
      <c r="G36" s="20" t="inlineStr">
        <is>
          <t>gradGetCard.spec</t>
        </is>
      </c>
      <c r="H36" s="20" t="inlineStr">
        <is>
          <t>'#47 Ödənişdən sonra balansın düzgün əks olunması'</t>
        </is>
      </c>
      <c r="I36" s="20" t="inlineStr">
        <is>
          <t>Yalnız availableBalance (49.5) yoxlanılır; spentToday sahəsi HEÇ BİR testdə assert edilmir (bax GRAD-302 qeydi də). GAP.</t>
        </is>
      </c>
      <c r="J36" s="20" t="inlineStr">
        <is>
          <t>CardGetTest.afterPayment_balanceReflectsCorrectly
BillPaymentTest.scenario70_validCityNetPayment_returns201WithAllFields</t>
        </is>
      </c>
      <c r="K36" s="20" t="inlineStr">
        <is>
          <t>Avtomat — 2026-10-07 passed</t>
        </is>
      </c>
      <c r="L36" s="20" t="inlineStr">
        <is>
          <t>TC-API-CARD-202-04
TC-API-CARD-202-06</t>
        </is>
      </c>
      <c r="M36" s="22" t="inlineStr">
        <is>
          <t>Passed</t>
        </is>
      </c>
      <c r="N36" s="20" t="n"/>
    </row>
    <row r="37" ht="23.25" customHeight="1" s="18">
      <c r="A37" s="20" t="inlineStr">
        <is>
          <t>EPIC-2: Virtual kartlar</t>
        </is>
      </c>
      <c r="B37" s="20" t="inlineStr">
        <is>
          <t>GRAD-202</t>
        </is>
      </c>
      <c r="C37" s="20" t="inlineStr">
        <is>
          <t>AC-3</t>
        </is>
      </c>
      <c r="D37" s="20" t="inlineStr">
        <is>
          <t>Başqa istifadəçinin kart id-si → 404 NOT_FOUND (IDOR)</t>
        </is>
      </c>
      <c r="E37" s="20" t="inlineStr">
        <is>
          <t>Medium (2 SP)</t>
        </is>
      </c>
      <c r="F37" s="21" t="inlineStr">
        <is>
          <t>Tam</t>
        </is>
      </c>
      <c r="G37" s="20" t="inlineStr">
        <is>
          <t>gradGetCard.spec</t>
        </is>
      </c>
      <c r="H37" s="20" t="inlineStr">
        <is>
          <t>'#48 Başqa istifadəçinin kartına GET cəhdi (IDOR)'</t>
        </is>
      </c>
      <c r="I37" s="20" t="n"/>
      <c r="J37" s="20" t="inlineStr">
        <is>
          <t>CardGetTest.anotherUsersCard_idor_returns404NotFound</t>
        </is>
      </c>
      <c r="K37" s="20" t="inlineStr">
        <is>
          <t>Avtomat — 2026-10-07 passed</t>
        </is>
      </c>
      <c r="L37" s="20" t="inlineStr">
        <is>
          <t>TC-API-CARD-202-05</t>
        </is>
      </c>
      <c r="M37" s="22" t="inlineStr">
        <is>
          <t>Passed</t>
        </is>
      </c>
      <c r="N37" s="20" t="n"/>
    </row>
    <row r="38" ht="23.25" customHeight="1" s="18">
      <c r="A38" s="20" t="inlineStr">
        <is>
          <t>EPIC-2: Virtual kartlar</t>
        </is>
      </c>
      <c r="B38" s="20" t="inlineStr">
        <is>
          <t>GRAD-202</t>
        </is>
      </c>
      <c r="C38" s="20" t="inlineStr">
        <is>
          <t>Əlavə</t>
        </is>
      </c>
      <c r="D38" s="20" t="inlineStr">
        <is>
          <t>Token yox → 401; mövcud olmayan kart id → 404</t>
        </is>
      </c>
      <c r="E38" s="20" t="inlineStr">
        <is>
          <t>Medium (2 SP)</t>
        </is>
      </c>
      <c r="F38" s="21" t="inlineStr">
        <is>
          <t>Tam (AC-dən əlavə)</t>
        </is>
      </c>
      <c r="G38" s="20" t="inlineStr">
        <is>
          <t>gradGetCard.spec</t>
        </is>
      </c>
      <c r="H38" s="20" t="inlineStr">
        <is>
          <t>'#49, #50'</t>
        </is>
      </c>
      <c r="I38" s="20" t="n"/>
      <c r="J38" s="20" t="inlineStr">
        <is>
          <t>CardGetTest.noToken_returns401
CardGetTest.nonExistentCardId_returns404</t>
        </is>
      </c>
      <c r="K38" s="20" t="inlineStr">
        <is>
          <t>Avtomat — 2026-10-07 passed</t>
        </is>
      </c>
      <c r="L38" s="20" t="inlineStr">
        <is>
          <t>TC-API-CARD-202-02
TC-API-CARD-202-03</t>
        </is>
      </c>
      <c r="M38" s="22" t="inlineStr">
        <is>
          <t>Passed</t>
        </is>
      </c>
      <c r="N38" s="20" t="n"/>
    </row>
    <row r="39" ht="57" customHeight="1" s="18">
      <c r="A39" s="20" t="inlineStr">
        <is>
          <t>EPIC-2: Virtual kartlar</t>
        </is>
      </c>
      <c r="B39" s="20" t="inlineStr">
        <is>
          <t>GRAD-203</t>
        </is>
      </c>
      <c r="C39" s="20" t="inlineStr">
        <is>
          <t>AC-1</t>
        </is>
      </c>
      <c r="D39" s="20" t="inlineStr">
        <is>
          <t>ACTIVE+TEMPORARY → 200 FROZEN, blockReason, blockedAt</t>
        </is>
      </c>
      <c r="E39" s="20" t="inlineStr">
        <is>
          <t>Qeyd olunmayıb (TestPlan-da GRAD-203/204/302 'ən yüksək prioritet' qrupuna aid edilib)</t>
        </is>
      </c>
      <c r="F39" s="21" t="inlineStr">
        <is>
          <t>Tam</t>
        </is>
      </c>
      <c r="G39" s="20" t="inlineStr">
        <is>
          <t>gradBlockCard.spec</t>
        </is>
      </c>
      <c r="H39" s="20" t="inlineStr">
        <is>
          <t>'#51'</t>
        </is>
      </c>
      <c r="I39" s="20" t="n"/>
      <c r="J39" s="20" t="inlineStr">
        <is>
          <t>CardBlockTest.ac1_activeCardTemporaryReason_returns200Frozen</t>
        </is>
      </c>
      <c r="K39" s="20" t="inlineStr">
        <is>
          <t>Avtomat — 2026-10-07 passed</t>
        </is>
      </c>
      <c r="L39" s="20" t="inlineStr">
        <is>
          <t>TC-API-CARD-203-01</t>
        </is>
      </c>
      <c r="M39" s="22" t="inlineStr">
        <is>
          <t>Passed</t>
        </is>
      </c>
      <c r="N39" s="20" t="n"/>
    </row>
    <row r="40" ht="57" customHeight="1" s="18">
      <c r="A40" s="20" t="inlineStr">
        <is>
          <t>EPIC-2: Virtual kartlar</t>
        </is>
      </c>
      <c r="B40" s="20" t="inlineStr">
        <is>
          <t>GRAD-203</t>
        </is>
      </c>
      <c r="C40" s="20" t="inlineStr">
        <is>
          <t>AC-2</t>
        </is>
      </c>
      <c r="D40" s="20" t="inlineStr">
        <is>
          <t>ACTIVE+LOST → 200 BLOCKED</t>
        </is>
      </c>
      <c r="E40" s="20" t="inlineStr">
        <is>
          <t>Qeyd olunmayıb (TestPlan-da GRAD-203/204/302 'ən yüksək prioritet' qrupuna aid edilib)</t>
        </is>
      </c>
      <c r="F40" s="21" t="inlineStr">
        <is>
          <t>Tam</t>
        </is>
      </c>
      <c r="G40" s="20" t="inlineStr">
        <is>
          <t>gradBlockCard.spec</t>
        </is>
      </c>
      <c r="H40" s="20" t="inlineStr">
        <is>
          <t>'#52'</t>
        </is>
      </c>
      <c r="I40" s="20" t="n"/>
      <c r="J40" s="20" t="inlineStr">
        <is>
          <t>CardBlockTest.ac2_activeCardLostReason_returns200Blocked</t>
        </is>
      </c>
      <c r="K40" s="20" t="inlineStr">
        <is>
          <t>Avtomat — 2026-10-07 passed</t>
        </is>
      </c>
      <c r="L40" s="20" t="inlineStr">
        <is>
          <t>TC-API-CARD-203-02</t>
        </is>
      </c>
      <c r="M40" s="22" t="inlineStr">
        <is>
          <t>Passed</t>
        </is>
      </c>
      <c r="N40" s="20" t="n"/>
    </row>
    <row r="41" ht="57" customHeight="1" s="18">
      <c r="A41" s="20" t="inlineStr">
        <is>
          <t>EPIC-2: Virtual kartlar</t>
        </is>
      </c>
      <c r="B41" s="20" t="inlineStr">
        <is>
          <t>GRAD-203</t>
        </is>
      </c>
      <c r="C41" s="20" t="inlineStr">
        <is>
          <t>AC-3</t>
        </is>
      </c>
      <c r="D41" s="20" t="inlineStr">
        <is>
          <t>FROZEN+STOLEN → 200 BLOCKED (eskalasiya)</t>
        </is>
      </c>
      <c r="E41" s="20" t="inlineStr">
        <is>
          <t>Qeyd olunmayıb (TestPlan-da GRAD-203/204/302 'ən yüksək prioritet' qrupuna aid edilib)</t>
        </is>
      </c>
      <c r="F41" s="21" t="inlineStr">
        <is>
          <t>Tam</t>
        </is>
      </c>
      <c r="G41" s="20" t="inlineStr">
        <is>
          <t>gradBlockCard.spec</t>
        </is>
      </c>
      <c r="H41" s="20" t="inlineStr">
        <is>
          <t>'#53'</t>
        </is>
      </c>
      <c r="I41" s="20" t="n"/>
      <c r="J41" s="20" t="inlineStr">
        <is>
          <t>CardBlockTest.ac3_frozenCardStolenReason_escalatesTo200Blocked</t>
        </is>
      </c>
      <c r="K41" s="20" t="inlineStr">
        <is>
          <t>Avtomat — 2026-10-07 passed</t>
        </is>
      </c>
      <c r="L41" s="20" t="inlineStr">
        <is>
          <t>TC-API-CARD-203-03</t>
        </is>
      </c>
      <c r="M41" s="22" t="inlineStr">
        <is>
          <t>Passed</t>
        </is>
      </c>
      <c r="N41" s="20" t="n"/>
    </row>
    <row r="42" ht="57" customHeight="1" s="18">
      <c r="A42" s="20" t="inlineStr">
        <is>
          <t>EPIC-2: Virtual kartlar</t>
        </is>
      </c>
      <c r="B42" s="20" t="inlineStr">
        <is>
          <t>GRAD-203</t>
        </is>
      </c>
      <c r="C42" s="20" t="inlineStr">
        <is>
          <t>AC-4</t>
        </is>
      </c>
      <c r="D42" s="20" t="inlineStr">
        <is>
          <t>FROZEN+TEMPORARY → 409 ALREADY_FROZEN</t>
        </is>
      </c>
      <c r="E42" s="20" t="inlineStr">
        <is>
          <t>Qeyd olunmayıb (TestPlan-da GRAD-203/204/302 'ən yüksək prioritet' qrupuna aid edilib)</t>
        </is>
      </c>
      <c r="F42" s="21" t="inlineStr">
        <is>
          <t>Tam</t>
        </is>
      </c>
      <c r="G42" s="20" t="inlineStr">
        <is>
          <t>gradBlockCard.spec</t>
        </is>
      </c>
      <c r="H42" s="20" t="inlineStr">
        <is>
          <t>'#54'</t>
        </is>
      </c>
      <c r="I42" s="20" t="n"/>
      <c r="J42" s="20" t="inlineStr">
        <is>
          <t>CardBlockTest.ac4_frozenCardTemporaryAgain_returns409AlreadyFrozen</t>
        </is>
      </c>
      <c r="K42" s="20" t="inlineStr">
        <is>
          <t>Avtomat — 2026-10-07 passed</t>
        </is>
      </c>
      <c r="L42" s="20" t="inlineStr">
        <is>
          <t>TC-API-CARD-203-04</t>
        </is>
      </c>
      <c r="M42" s="22" t="inlineStr">
        <is>
          <t>Passed</t>
        </is>
      </c>
      <c r="N42" s="20" t="n"/>
    </row>
    <row r="43" ht="57" customHeight="1" s="18">
      <c r="A43" s="20" t="inlineStr">
        <is>
          <t>EPIC-2: Virtual kartlar</t>
        </is>
      </c>
      <c r="B43" s="20" t="inlineStr">
        <is>
          <t>GRAD-203</t>
        </is>
      </c>
      <c r="C43" s="20" t="inlineStr">
        <is>
          <t>AC-5</t>
        </is>
      </c>
      <c r="D43" s="20" t="inlineStr">
        <is>
          <t>BLOCKED kart, istənilən reason → 409 CARD_BLOCKED</t>
        </is>
      </c>
      <c r="E43" s="20" t="inlineStr">
        <is>
          <t>Qeyd olunmayıb (TestPlan-da GRAD-203/204/302 'ən yüksək prioritet' qrupuna aid edilib)</t>
        </is>
      </c>
      <c r="F43" s="23" t="inlineStr">
        <is>
          <t>Qismən</t>
        </is>
      </c>
      <c r="G43" s="20" t="inlineStr">
        <is>
          <t>gradBlockCard.spec</t>
        </is>
      </c>
      <c r="H43" s="20" t="inlineStr">
        <is>
          <t>'#55'</t>
        </is>
      </c>
      <c r="I43" s="20" t="inlineStr">
        <is>
          <t>Yalnız BLOCKED+STOLEN kombinasiyası test olunur; 'istənilən reason' iddiasına baxmayaraq BLOCKED+TEMPORARY və BLOCKED+LOST kombinasiyaları ayrıca test edilmir. GAP (qismən).</t>
        </is>
      </c>
      <c r="J43" s="20" t="inlineStr">
        <is>
          <t>CardBlockTest.ac5_blockedCardBlockedAgain_returns409CardBlocked
CardBlockTest.stateTransitionTable_allNineTransitions</t>
        </is>
      </c>
      <c r="K43" s="20" t="inlineStr">
        <is>
          <t>Avtomat — 2026-10-07 passed + yeni test (icra gözlənilir)</t>
        </is>
      </c>
      <c r="L43" s="20" t="inlineStr">
        <is>
          <t>TC-API-CARD-203-05</t>
        </is>
      </c>
      <c r="M43" s="22" t="inlineStr">
        <is>
          <t>Passed</t>
        </is>
      </c>
      <c r="N43" s="20" t="n"/>
    </row>
    <row r="44" ht="57" customHeight="1" s="18">
      <c r="A44" s="20" t="inlineStr">
        <is>
          <t>EPIC-2: Virtual kartlar</t>
        </is>
      </c>
      <c r="B44" s="20" t="inlineStr">
        <is>
          <t>GRAD-203</t>
        </is>
      </c>
      <c r="C44" s="20" t="inlineStr">
        <is>
          <t>AC-6</t>
        </is>
      </c>
      <c r="D44" s="20" t="inlineStr">
        <is>
          <t>reason 'BROKEN' və ya yoxdur → 400 VALIDATION_ERROR</t>
        </is>
      </c>
      <c r="E44" s="20" t="inlineStr">
        <is>
          <t>Qeyd olunmayıb (TestPlan-da GRAD-203/204/302 'ən yüksək prioritet' qrupuna aid edilib)</t>
        </is>
      </c>
      <c r="F44" s="21" t="inlineStr">
        <is>
          <t>Tam</t>
        </is>
      </c>
      <c r="G44" s="20" t="inlineStr">
        <is>
          <t>gradBlockCard.spec</t>
        </is>
      </c>
      <c r="H44" s="20" t="inlineStr">
        <is>
          <t>'#56, #57'</t>
        </is>
      </c>
      <c r="I44" s="20" t="n"/>
      <c r="J44" s="20" t="inlineStr">
        <is>
          <t>CardBlockTest.ac6_invalidOrMissingReason_returns400ValidationError</t>
        </is>
      </c>
      <c r="K44" s="20" t="inlineStr">
        <is>
          <t>Avtomat — 2026-10-07 passed</t>
        </is>
      </c>
      <c r="L44" s="20" t="inlineStr">
        <is>
          <t>TC-API-CARD-203-06
TC-API-CARD-203-07</t>
        </is>
      </c>
      <c r="M44" s="22" t="inlineStr">
        <is>
          <t>Passed</t>
        </is>
      </c>
      <c r="N44" s="20" t="n"/>
    </row>
    <row r="45" ht="57" customHeight="1" s="18">
      <c r="A45" s="20" t="inlineStr">
        <is>
          <t>EPIC-2: Virtual kartlar</t>
        </is>
      </c>
      <c r="B45" s="20" t="inlineStr">
        <is>
          <t>GRAD-203</t>
        </is>
      </c>
      <c r="C45" s="20" t="inlineStr">
        <is>
          <t>AC-7</t>
        </is>
      </c>
      <c r="D45" s="20" t="inlineStr">
        <is>
          <t>FROZEN/BLOCKED kartla ödəniş → 422 CARD_NOT_ACTIVE</t>
        </is>
      </c>
      <c r="E45" s="20" t="inlineStr">
        <is>
          <t>Qeyd olunmayıb (TestPlan-da GRAD-203/204/302 'ən yüksək prioritet' qrupuna aid edilib)</t>
        </is>
      </c>
      <c r="F45" s="21" t="inlineStr">
        <is>
          <t>Tam (çarpaz fayl)</t>
        </is>
      </c>
      <c r="G45" s="20" t="inlineStr">
        <is>
          <t>gradBlockCard.spec</t>
        </is>
      </c>
      <c r="H45" s="20" t="inlineStr">
        <is>
          <t>gradBillPayments.spec '#92, #93'</t>
        </is>
      </c>
      <c r="I45" s="20" t="inlineStr">
        <is>
          <t>Bu AC GRAD-203 faylında deyil, GRAD-302-nin spec faylında test olunur (fərqli ticket-in faylında, lakin faktiki örtülüb).</t>
        </is>
      </c>
      <c r="J45" s="20" t="inlineStr">
        <is>
          <t>BillPaymentTest.scenario92_frozenCardPaymentAttempt_returns422CardNotActive
BillPaymentTest.scenario93_blockedCardPaymentAttempt_returns422CardNotActive</t>
        </is>
      </c>
      <c r="K45" s="20" t="inlineStr">
        <is>
          <t>Avtomat — 2026-10-07 passed</t>
        </is>
      </c>
      <c r="L45" s="20" t="inlineStr">
        <is>
          <t>TC-API-BILL-302-23
TC-API-BILL-302-24</t>
        </is>
      </c>
      <c r="M45" s="22" t="inlineStr">
        <is>
          <t>Passed</t>
        </is>
      </c>
      <c r="N45" s="20" t="n"/>
    </row>
    <row r="46" ht="57" customHeight="1" s="18">
      <c r="A46" s="20" t="inlineStr">
        <is>
          <t>EPIC-2: Virtual kartlar</t>
        </is>
      </c>
      <c r="B46" s="20" t="inlineStr">
        <is>
          <t>GRAD-203</t>
        </is>
      </c>
      <c r="C46" s="20" t="inlineStr">
        <is>
          <t>Əlavə</t>
        </is>
      </c>
      <c r="D46" s="20" t="inlineStr">
        <is>
          <t>Token yox/etibarsız → 401; mövcud olmayan kart id → 404 NOT_FOUND</t>
        </is>
      </c>
      <c r="E46" s="20" t="inlineStr">
        <is>
          <t>Qeyd olunmayıb (TestPlan-da GRAD-203/204/302 'ən yüksək prioritet' qrupuna aid edilib)</t>
        </is>
      </c>
      <c r="F46" s="21" t="inlineStr">
        <is>
          <t>Tam (AC-dən əlavə)</t>
        </is>
      </c>
      <c r="G46" s="20" t="inlineStr">
        <is>
          <t>gradBlockCard.spec</t>
        </is>
      </c>
      <c r="H46" s="20" t="inlineStr">
        <is>
          <t>'#58, #59'</t>
        </is>
      </c>
      <c r="I46" s="20" t="n"/>
      <c r="J46" s="20" t="inlineStr">
        <is>
          <t>CardBlockTest.scenario58_noToken_returns401
CardBlockTest.newGapClosing_blockAnotherUsersCard_returns404NotFound
CardBlockTest.scenario59_nonExistentCardId_returns404NotFound</t>
        </is>
      </c>
      <c r="K46" s="20" t="inlineStr">
        <is>
          <t>Avtomat — 2026-10-07 passed</t>
        </is>
      </c>
      <c r="L46" s="20" t="inlineStr">
        <is>
          <t>TC-API-CARD-203-08
TC-API-CARD-203-09</t>
        </is>
      </c>
      <c r="M46" s="22" t="inlineStr">
        <is>
          <t>Passed</t>
        </is>
      </c>
      <c r="N46" s="20" t="n"/>
    </row>
    <row r="47" ht="57" customHeight="1" s="18">
      <c r="A47" s="20" t="inlineStr">
        <is>
          <t>EPIC-2: Virtual kartlar</t>
        </is>
      </c>
      <c r="B47" s="20" t="inlineStr">
        <is>
          <t>GRAD-203</t>
        </is>
      </c>
      <c r="C47" s="20" t="inlineStr">
        <is>
          <t>Əlavə (gap)</t>
        </is>
      </c>
      <c r="D47" s="20" t="inlineStr">
        <is>
          <t>Başqa istifadəçinin kartını bloklamaq (IDOR) — ümumi 'sahiblik olmayan resursa 404' qaydası</t>
        </is>
      </c>
      <c r="E47" s="20" t="inlineStr">
        <is>
          <t>Qeyd olunmayıb (TestPlan-da GRAD-203/204/302 'ən yüksək prioritet' qrupuna aid edilib)</t>
        </is>
      </c>
      <c r="F47" s="24" t="inlineStr">
        <is>
          <t>YOXDUR</t>
        </is>
      </c>
      <c r="G47" s="20" t="inlineStr">
        <is>
          <t>gradBlockCard.spec</t>
        </is>
      </c>
      <c r="H47" s="20" t="inlineStr">
        <is>
          <t>—</t>
        </is>
      </c>
      <c r="I47" s="20" t="inlineStr">
        <is>
          <t>Heç bir spec-də POST /cards/{id}/block üçün IDOR (başqa user-in kartı) testi yoxdur. GRAD-103/202-dəki IDOR pattern-i bura tətbiq edilməyib. GAP.</t>
        </is>
      </c>
      <c r="J47" s="20" t="inlineStr">
        <is>
          <t>CardBlockTest.newGapClosing_blockAnotherUsersCard_returns404NotFound</t>
        </is>
      </c>
      <c r="K47" s="20" t="inlineStr">
        <is>
          <t>Avtomat — 2026-10-07 passed</t>
        </is>
      </c>
      <c r="L47" s="20" t="inlineStr">
        <is>
          <t>TC-API-CARD-203-10</t>
        </is>
      </c>
      <c r="M47" s="22" t="inlineStr">
        <is>
          <t>Passed</t>
        </is>
      </c>
      <c r="N47" s="20" t="n"/>
    </row>
    <row r="48" ht="23.25" customHeight="1" s="18">
      <c r="A48" s="20" t="inlineStr">
        <is>
          <t>EPIC-2: Virtual kartlar</t>
        </is>
      </c>
      <c r="B48" s="20" t="inlineStr">
        <is>
          <t>GRAD-204</t>
        </is>
      </c>
      <c r="C48" s="20" t="inlineStr">
        <is>
          <t>AC-1</t>
        </is>
      </c>
      <c r="D48" s="20" t="inlineStr">
        <is>
          <t>FROZEN kart unblock → 200 ACTIVE; blockReason/blockedAt null</t>
        </is>
      </c>
      <c r="E48" s="20" t="inlineStr">
        <is>
          <t>Medium (2 SP)</t>
        </is>
      </c>
      <c r="F48" s="21" t="inlineStr">
        <is>
          <t>Tam</t>
        </is>
      </c>
      <c r="G48" s="20" t="inlineStr">
        <is>
          <t>gradUnblockCard.spec</t>
        </is>
      </c>
      <c r="H48" s="20" t="inlineStr">
        <is>
          <t>'#60'</t>
        </is>
      </c>
      <c r="I48" s="20" t="n"/>
      <c r="J48" s="20" t="inlineStr">
        <is>
          <t>CardUnblockTest.frozenCard_unblock_returns200ActiveStatus</t>
        </is>
      </c>
      <c r="K48" s="20" t="inlineStr">
        <is>
          <t>Avtomat — 2026-10-07 passed</t>
        </is>
      </c>
      <c r="L48" s="20" t="inlineStr">
        <is>
          <t>TC-API-CARD-204-01</t>
        </is>
      </c>
      <c r="M48" s="22" t="inlineStr">
        <is>
          <t>Passed</t>
        </is>
      </c>
      <c r="N48" s="20" t="n"/>
    </row>
    <row r="49" ht="15" customHeight="1" s="18">
      <c r="A49" s="20" t="inlineStr">
        <is>
          <t>EPIC-2: Virtual kartlar</t>
        </is>
      </c>
      <c r="B49" s="20" t="inlineStr">
        <is>
          <t>GRAD-204</t>
        </is>
      </c>
      <c r="C49" s="20" t="inlineStr">
        <is>
          <t>AC-2</t>
        </is>
      </c>
      <c r="D49" s="20" t="inlineStr">
        <is>
          <t>ACTIVE kart unblock → 409 NOT_FROZEN</t>
        </is>
      </c>
      <c r="E49" s="20" t="inlineStr">
        <is>
          <t>Medium (2 SP)</t>
        </is>
      </c>
      <c r="F49" s="21" t="inlineStr">
        <is>
          <t>Tam</t>
        </is>
      </c>
      <c r="G49" s="20" t="inlineStr">
        <is>
          <t>gradUnblockCard.spec</t>
        </is>
      </c>
      <c r="H49" s="20" t="inlineStr">
        <is>
          <t>'#61'</t>
        </is>
      </c>
      <c r="I49" s="20" t="n"/>
      <c r="J49" s="20" t="inlineStr">
        <is>
          <t>CardUnblockTest.activeCard_unblock_returns409NotFrozen</t>
        </is>
      </c>
      <c r="K49" s="20" t="inlineStr">
        <is>
          <t>Avtomat — 2026-10-07 passed</t>
        </is>
      </c>
      <c r="L49" s="20" t="inlineStr">
        <is>
          <t>TC-API-CARD-204-02</t>
        </is>
      </c>
      <c r="M49" s="22" t="inlineStr">
        <is>
          <t>Passed</t>
        </is>
      </c>
      <c r="N49" s="20" t="n"/>
    </row>
    <row r="50" ht="23.25" customHeight="1" s="18">
      <c r="A50" s="20" t="inlineStr">
        <is>
          <t>EPIC-2: Virtual kartlar</t>
        </is>
      </c>
      <c r="B50" s="20" t="inlineStr">
        <is>
          <t>GRAD-204</t>
        </is>
      </c>
      <c r="C50" s="20" t="inlineStr">
        <is>
          <t>AC-3</t>
        </is>
      </c>
      <c r="D50" s="20" t="inlineStr">
        <is>
          <t>BLOCKED kart unblock → 409 PERMANENTLY_BLOCKED</t>
        </is>
      </c>
      <c r="E50" s="20" t="inlineStr">
        <is>
          <t>Medium (2 SP)</t>
        </is>
      </c>
      <c r="F50" s="21" t="inlineStr">
        <is>
          <t>Tam</t>
        </is>
      </c>
      <c r="G50" s="20" t="inlineStr">
        <is>
          <t>gradUnblockCard.spec</t>
        </is>
      </c>
      <c r="H50" s="20" t="inlineStr">
        <is>
          <t>'#62'</t>
        </is>
      </c>
      <c r="I50" s="20" t="n"/>
      <c r="J50" s="20" t="inlineStr">
        <is>
          <t>CardUnblockTest.blockedCard_unblock_returns409PermanentlyBlocked</t>
        </is>
      </c>
      <c r="K50" s="20" t="inlineStr">
        <is>
          <t>Avtomat — 2026-10-07 passed</t>
        </is>
      </c>
      <c r="L50" s="20" t="inlineStr">
        <is>
          <t>TC-API-CARD-204-03</t>
        </is>
      </c>
      <c r="M50" s="22" t="inlineStr">
        <is>
          <t>Passed</t>
        </is>
      </c>
      <c r="N50" s="20" t="n"/>
    </row>
    <row r="51" ht="23.25" customHeight="1" s="18">
      <c r="A51" s="20" t="inlineStr">
        <is>
          <t>EPIC-2: Virtual kartlar</t>
        </is>
      </c>
      <c r="B51" s="20" t="inlineStr">
        <is>
          <t>GRAD-204</t>
        </is>
      </c>
      <c r="C51" s="20" t="inlineStr">
        <is>
          <t>AC-4</t>
        </is>
      </c>
      <c r="D51" s="20" t="inlineStr">
        <is>
          <t>Açılmış (unblock olunmuş) kartla ödəniş → uğurla keçir (201)</t>
        </is>
      </c>
      <c r="E51" s="20" t="inlineStr">
        <is>
          <t>Medium (2 SP)</t>
        </is>
      </c>
      <c r="F51" s="24" t="inlineStr">
        <is>
          <t>Tam</t>
        </is>
      </c>
      <c r="G51" s="20" t="inlineStr">
        <is>
          <t>gradUnblockCard.spec</t>
        </is>
      </c>
      <c r="H51" s="20" t="inlineStr">
        <is>
          <t>'64a. Açılmış kartla ödəniş uğurla keçir (AC-4)'</t>
        </is>
      </c>
      <c r="I51" s="20" t="inlineStr">
        <is>
          <t>Heç bir spec-də unblock-dan sonra ödəniş testi yoxdur. GAP.
Yeniləmə 09.10: gradUnblockCard.spec-ə 64a ssenarisi əlavə edildi (PASSED).</t>
        </is>
      </c>
      <c r="J51" s="20" t="inlineStr">
        <is>
          <t>CardUnblockTest.ac4_unblockedCard_paymentSucceedsAgain</t>
        </is>
      </c>
      <c r="K51" s="20" t="inlineStr">
        <is>
          <t>Avtomat — 2026-10-07 passed</t>
        </is>
      </c>
      <c r="L51" s="20" t="inlineStr">
        <is>
          <t>TC-API-CARD-204-06</t>
        </is>
      </c>
      <c r="M51" s="22" t="inlineStr">
        <is>
          <t>Passed</t>
        </is>
      </c>
      <c r="N51" s="20" t="n"/>
    </row>
    <row r="52" ht="23.25" customHeight="1" s="18">
      <c r="A52" s="20" t="inlineStr">
        <is>
          <t>EPIC-2: Virtual kartlar</t>
        </is>
      </c>
      <c r="B52" s="20" t="inlineStr">
        <is>
          <t>GRAD-204</t>
        </is>
      </c>
      <c r="C52" s="20" t="inlineStr">
        <is>
          <t>Əlavə</t>
        </is>
      </c>
      <c r="D52" s="20" t="inlineStr">
        <is>
          <t>Token yox/etibarsız → 401; mövcud olmayan kart id → 404</t>
        </is>
      </c>
      <c r="E52" s="20" t="inlineStr">
        <is>
          <t>Medium (2 SP)</t>
        </is>
      </c>
      <c r="F52" s="21" t="inlineStr">
        <is>
          <t>Tam (AC-dən əlavə)</t>
        </is>
      </c>
      <c r="G52" s="20" t="inlineStr">
        <is>
          <t>gradUnblockCard.spec</t>
        </is>
      </c>
      <c r="H52" s="20" t="inlineStr">
        <is>
          <t>'#63, #64'</t>
        </is>
      </c>
      <c r="I52" s="20" t="n"/>
      <c r="J52" s="20" t="inlineStr">
        <is>
          <t>CardUnblockTest.noToken_returns401
CardUnblockTest.idor_anotherUsersCardUnblockAttempt_returns404NotFound
CardUnblockTest.nonExistentCardId_returns404NotFound</t>
        </is>
      </c>
      <c r="K52" s="20" t="inlineStr">
        <is>
          <t>Avtomat — 2026-10-07 passed</t>
        </is>
      </c>
      <c r="L52" s="20" t="inlineStr">
        <is>
          <t>TC-API-CARD-204-04
TC-API-CARD-204-05</t>
        </is>
      </c>
      <c r="M52" s="22" t="inlineStr">
        <is>
          <t>Passed</t>
        </is>
      </c>
      <c r="N52" s="20" t="n"/>
    </row>
    <row r="53" ht="23.25" customHeight="1" s="18">
      <c r="A53" s="20" t="inlineStr">
        <is>
          <t>EPIC-2: Virtual kartlar</t>
        </is>
      </c>
      <c r="B53" s="20" t="inlineStr">
        <is>
          <t>GRAD-204</t>
        </is>
      </c>
      <c r="C53" s="20" t="inlineStr">
        <is>
          <t>Əlavə (gap)</t>
        </is>
      </c>
      <c r="D53" s="20" t="inlineStr">
        <is>
          <t>Başqa istifadəçinin kartını unblock etmək (IDOR)</t>
        </is>
      </c>
      <c r="E53" s="20" t="inlineStr">
        <is>
          <t>Medium (2 SP)</t>
        </is>
      </c>
      <c r="F53" s="24" t="inlineStr">
        <is>
          <t>YOXDUR</t>
        </is>
      </c>
      <c r="G53" s="20" t="inlineStr">
        <is>
          <t>gradUnblockCard.spec</t>
        </is>
      </c>
      <c r="H53" s="20" t="inlineStr">
        <is>
          <t>—</t>
        </is>
      </c>
      <c r="I53" s="20" t="inlineStr">
        <is>
          <t>Heç bir spec-də POST /cards/{id}/unblock üçün IDOR testi yoxdur. GAP.</t>
        </is>
      </c>
      <c r="J53" s="20" t="inlineStr">
        <is>
          <t>CardUnblockTest.idor_anotherUsersCardUnblockAttempt_returns404NotFound</t>
        </is>
      </c>
      <c r="K53" s="20" t="inlineStr">
        <is>
          <t>Avtomat — 2026-10-07 passed</t>
        </is>
      </c>
      <c r="L53" s="20" t="inlineStr">
        <is>
          <t>TC-API-CARD-204-07</t>
        </is>
      </c>
      <c r="M53" s="22" t="inlineStr">
        <is>
          <t>Passed</t>
        </is>
      </c>
      <c r="N53" s="20" t="n"/>
    </row>
    <row r="54" ht="23.25" customHeight="1" s="18">
      <c r="A54" s="20" t="inlineStr">
        <is>
          <t>EPIC-3: Kommunal ödənişlər</t>
        </is>
      </c>
      <c r="B54" s="20" t="inlineStr">
        <is>
          <t>GRAD-301</t>
        </is>
      </c>
      <c r="C54" s="20" t="inlineStr">
        <is>
          <t>AC-1</t>
        </is>
      </c>
      <c r="D54" s="20" t="inlineStr">
        <is>
          <t>Parametrsiz → 200; total 6; hər elementdə subscriberPattern/minAmount/maxAmount/fee</t>
        </is>
      </c>
      <c r="E54" s="20" t="inlineStr">
        <is>
          <t>Low (2 SP)</t>
        </is>
      </c>
      <c r="F54" s="21" t="inlineStr">
        <is>
          <t>Tam</t>
        </is>
      </c>
      <c r="G54" s="20" t="inlineStr">
        <is>
          <t>gradBillersList.spec</t>
        </is>
      </c>
      <c r="H54" s="20" t="inlineStr">
        <is>
          <t>'#65'</t>
        </is>
      </c>
      <c r="I54" s="20" t="inlineStr">
        <is>
          <t>Bütün 6 billerin konkret dəyərləri (category/min/max/fee/pattern) ayrı-ayrı yoxlanılır.</t>
        </is>
      </c>
      <c r="J54" s="20" t="inlineStr">
        <is>
          <t>BillersListTest.scenario65_noParams_returnsAllBillers</t>
        </is>
      </c>
      <c r="K54" s="20" t="inlineStr">
        <is>
          <t>Avtomat — 2026-10-07 passed</t>
        </is>
      </c>
      <c r="L54" s="20" t="inlineStr">
        <is>
          <t>TC-API-BILL-301-01</t>
        </is>
      </c>
      <c r="M54" s="22" t="inlineStr">
        <is>
          <t>Passed</t>
        </is>
      </c>
      <c r="N54" s="20" t="n"/>
    </row>
    <row r="55" ht="23.25" customHeight="1" s="18">
      <c r="A55" s="20" t="inlineStr">
        <is>
          <t>EPIC-3: Kommunal ödənişlər</t>
        </is>
      </c>
      <c r="B55" s="20" t="inlineStr">
        <is>
          <t>GRAD-301</t>
        </is>
      </c>
      <c r="C55" s="20" t="inlineStr">
        <is>
          <t>AC-2</t>
        </is>
      </c>
      <c r="D55" s="20" t="inlineStr">
        <is>
          <t>category=MOBILE → yalnız Azercell və Bakcell</t>
        </is>
      </c>
      <c r="E55" s="20" t="inlineStr">
        <is>
          <t>Low (2 SP)</t>
        </is>
      </c>
      <c r="F55" s="21" t="inlineStr">
        <is>
          <t>Tam</t>
        </is>
      </c>
      <c r="G55" s="20" t="inlineStr">
        <is>
          <t>gradBillersList.spec</t>
        </is>
      </c>
      <c r="H55" s="20" t="inlineStr">
        <is>
          <t>'#66'</t>
        </is>
      </c>
      <c r="I55" s="20" t="n"/>
      <c r="J55" s="20" t="inlineStr">
        <is>
          <t>BillersListTest.scenario66_categoryMobile_filtersCorrectly
BillersListTest.scenario67_categoryInternet_filtersCorrectly</t>
        </is>
      </c>
      <c r="K55" s="20" t="inlineStr">
        <is>
          <t>Avtomat — 2026-10-07 passed</t>
        </is>
      </c>
      <c r="L55" s="20" t="inlineStr">
        <is>
          <t>TC-API-BILL-301-02
TC-API-BILL-301-03</t>
        </is>
      </c>
      <c r="M55" s="22" t="inlineStr">
        <is>
          <t>Passed</t>
        </is>
      </c>
      <c r="N55" s="20" t="n"/>
    </row>
    <row r="56" ht="23.25" customHeight="1" s="18">
      <c r="A56" s="20" t="inlineStr">
        <is>
          <t>EPIC-3: Kommunal ödənişlər</t>
        </is>
      </c>
      <c r="B56" s="20" t="inlineStr">
        <is>
          <t>GRAD-301</t>
        </is>
      </c>
      <c r="C56" s="20" t="inlineStr">
        <is>
          <t>AC-3</t>
        </is>
      </c>
      <c r="D56" s="20" t="inlineStr">
        <is>
          <t>category=GAS → 400 VALIDATION_ERROR</t>
        </is>
      </c>
      <c r="E56" s="20" t="inlineStr">
        <is>
          <t>Low (2 SP)</t>
        </is>
      </c>
      <c r="F56" s="21" t="inlineStr">
        <is>
          <t>Tam</t>
        </is>
      </c>
      <c r="G56" s="20" t="inlineStr">
        <is>
          <t>gradBillersList.spec</t>
        </is>
      </c>
      <c r="H56" s="20" t="inlineStr">
        <is>
          <t>'#68'</t>
        </is>
      </c>
      <c r="I56" s="20" t="n"/>
      <c r="J56" s="20" t="inlineStr">
        <is>
          <t>BillersListTest.scenario68_invalidCategoryValue_returns400</t>
        </is>
      </c>
      <c r="K56" s="20" t="inlineStr">
        <is>
          <t>Avtomat — 2026-10-07 passed</t>
        </is>
      </c>
      <c r="L56" s="20" t="inlineStr">
        <is>
          <t>TC-API-BILL-301-04</t>
        </is>
      </c>
      <c r="M56" s="22" t="inlineStr">
        <is>
          <t>Passed</t>
        </is>
      </c>
      <c r="N56" s="20" t="n"/>
    </row>
    <row r="57" ht="23.25" customHeight="1" s="18">
      <c r="A57" s="20" t="inlineStr">
        <is>
          <t>EPIC-3: Kommunal ödənişlər</t>
        </is>
      </c>
      <c r="B57" s="20" t="inlineStr">
        <is>
          <t>GRAD-301</t>
        </is>
      </c>
      <c r="C57" s="20" t="inlineStr">
        <is>
          <t>Əlavə</t>
        </is>
      </c>
      <c r="D57" s="20" t="inlineStr">
        <is>
          <t>category=INTERNET filtri; token yox → 401</t>
        </is>
      </c>
      <c r="E57" s="20" t="inlineStr">
        <is>
          <t>Low (2 SP)</t>
        </is>
      </c>
      <c r="F57" s="21" t="inlineStr">
        <is>
          <t>Tam (AC-dən əlavə)</t>
        </is>
      </c>
      <c r="G57" s="20" t="inlineStr">
        <is>
          <t>gradBillersList.spec</t>
        </is>
      </c>
      <c r="H57" s="20" t="inlineStr">
        <is>
          <t>'#67, #69'</t>
        </is>
      </c>
      <c r="I57" s="20" t="n"/>
      <c r="J57" s="20" t="inlineStr">
        <is>
          <t>BillersListTest.scenario69_noAuthHeader_returns401</t>
        </is>
      </c>
      <c r="K57" s="20" t="inlineStr">
        <is>
          <t>Avtomat — 2026-10-07 passed</t>
        </is>
      </c>
      <c r="L57" s="20" t="inlineStr">
        <is>
          <t>TC-API-BILL-301-05</t>
        </is>
      </c>
      <c r="M57" s="22" t="inlineStr">
        <is>
          <t>Passed</t>
        </is>
      </c>
      <c r="N57" s="20" t="n"/>
    </row>
    <row r="58" ht="45.75" customHeight="1" s="18">
      <c r="A58" s="20" t="inlineStr">
        <is>
          <t>EPIC-3: Kommunal ödənişlər</t>
        </is>
      </c>
      <c r="B58" s="20" t="inlineStr">
        <is>
          <t>GRAD-302</t>
        </is>
      </c>
      <c r="C58" s="20" t="inlineStr">
        <is>
          <t>AC-1</t>
        </is>
      </c>
      <c r="D58" s="20" t="inlineStr">
        <is>
          <t>Etibarlı ödəniş → 201 SUCCESS; total=amount+fee; balanceAfter; Location header var</t>
        </is>
      </c>
      <c r="E58" s="20" t="inlineStr">
        <is>
          <t>Highest (8 SP)</t>
        </is>
      </c>
      <c r="F58" s="23" t="inlineStr">
        <is>
          <t>Qismən</t>
        </is>
      </c>
      <c r="G58" s="20" t="inlineStr">
        <is>
          <t>gradBillPayments.spec</t>
        </is>
      </c>
      <c r="H58" s="20" t="inlineStr">
        <is>
          <t>'#70'</t>
        </is>
      </c>
      <c r="I58" s="20" t="inlineStr">
        <is>
          <t>status/fee/total/balanceAfter yoxlanılır, lakin Location header POST /bill-payments cavabında HEÇ BİR ssenaridə assert edilmir (yalnız /cards POST-da yoxlanılır, #74). GAP (qismən).</t>
        </is>
      </c>
      <c r="J58" s="20" t="inlineStr">
        <is>
          <t>BillPaymentTest.scenario70_validCityNetPayment_returns201WithAllFields</t>
        </is>
      </c>
      <c r="K58" s="20" t="inlineStr">
        <is>
          <t>Avtomat — 2026-10-07 passed</t>
        </is>
      </c>
      <c r="L58" s="20" t="inlineStr">
        <is>
          <t>TC-API-BILL-302-01</t>
        </is>
      </c>
      <c r="M58" s="22" t="inlineStr">
        <is>
          <t>Passed</t>
        </is>
      </c>
      <c r="N58" s="20" t="n"/>
    </row>
    <row r="59" ht="23.25" customHeight="1" s="18">
      <c r="A59" s="20" t="inlineStr">
        <is>
          <t>EPIC-3: Kommunal ödənişlər</t>
        </is>
      </c>
      <c r="B59" s="20" t="inlineStr">
        <is>
          <t>GRAD-302</t>
        </is>
      </c>
      <c r="C59" s="20" t="inlineStr">
        <is>
          <t>AC-2</t>
        </is>
      </c>
      <c r="D59" s="20" t="inlineStr">
        <is>
          <t>Ödəniş sonrası GET /cards/{id}: availableBalance azalıb, spentToday artıb</t>
        </is>
      </c>
      <c r="E59" s="20" t="inlineStr">
        <is>
          <t>Highest (8 SP)</t>
        </is>
      </c>
      <c r="F59" s="23" t="inlineStr">
        <is>
          <t>Qismən</t>
        </is>
      </c>
      <c r="G59" s="20" t="inlineStr">
        <is>
          <t>gradBillPayments.spec</t>
        </is>
      </c>
      <c r="H59" s="20" t="inlineStr">
        <is>
          <t>'#74' (yalnız balans)</t>
        </is>
      </c>
      <c r="I59" s="20" t="inlineStr">
        <is>
          <t>availableBalance 49.5 yoxlanılır, spentToday heç vaxt assert edilmir (bax GRAD-202 AC-2 ilə eyni gap). GAP.</t>
        </is>
      </c>
      <c r="J59" s="20" t="inlineStr">
        <is>
          <t>BillPaymentTest.scenario70_validCityNetPayment_returns201WithAllFields
CardGetTest.afterPayment_balanceReflectsCorrectly</t>
        </is>
      </c>
      <c r="K59" s="20" t="inlineStr">
        <is>
          <t>Avtomat — 2026-10-07 passed</t>
        </is>
      </c>
      <c r="L59" s="20" t="inlineStr">
        <is>
          <t>TC-API-BILL-302-01
TC-API-BILL-302-05</t>
        </is>
      </c>
      <c r="M59" s="22" t="inlineStr">
        <is>
          <t>Passed</t>
        </is>
      </c>
      <c r="N59" s="20" t="n"/>
    </row>
    <row r="60" ht="23.25" customHeight="1" s="18">
      <c r="A60" s="20" t="inlineStr">
        <is>
          <t>EPIC-3: Kommunal ödənişlər</t>
        </is>
      </c>
      <c r="B60" s="20" t="inlineStr">
        <is>
          <t>GRAD-302</t>
        </is>
      </c>
      <c r="C60" s="20" t="inlineStr">
        <is>
          <t>AC-3</t>
        </is>
      </c>
      <c r="D60" s="20" t="inlineStr">
        <is>
          <t>Sandbox-da ilk ödəniş: receiptNo RCP-YYYYMMDD-000001, hər növbəti +1</t>
        </is>
      </c>
      <c r="E60" s="20" t="inlineStr">
        <is>
          <t>Highest (8 SP)</t>
        </is>
      </c>
      <c r="F60" s="24" t="inlineStr">
        <is>
          <t>Qismən</t>
        </is>
      </c>
      <c r="G60" s="20" t="inlineStr">
        <is>
          <t>gradBillPayments.spec</t>
        </is>
      </c>
      <c r="H60" s="20" t="inlineStr">
        <is>
          <t>'#70' (yalnız receiptNo formatı, regex)</t>
        </is>
      </c>
      <c r="I60" s="20" t="inlineStr">
        <is>
          <t>Heç bir ssenaridə receiptNo formatı və ya artımı yoxlanılmır. GAP.
Yeniləmə 09.10: #70-ə receiptNo regex yoxlaması əlavə edildi; +1 artım yalnız RestAssured-dadır (TC-API-BILL-302-26).</t>
        </is>
      </c>
      <c r="J60" s="20" t="inlineStr">
        <is>
          <t>BillPaymentTest.acGap_receiptNoIncrementsByOneAcrossConsecutivePayments</t>
        </is>
      </c>
      <c r="K60" s="20" t="inlineStr">
        <is>
          <t>Avtomat — 2026-10-07 passed</t>
        </is>
      </c>
      <c r="L60" s="20" t="inlineStr">
        <is>
          <t>TC-API-BILL-302-01
TC-API-BILL-302-26</t>
        </is>
      </c>
      <c r="M60" s="22" t="inlineStr">
        <is>
          <t>Passed</t>
        </is>
      </c>
      <c r="N60" s="20" t="n"/>
    </row>
    <row r="61" ht="34.5" customHeight="1" s="18">
      <c r="A61" s="20" t="inlineStr">
        <is>
          <t>EPIC-3: Kommunal ödənişlər</t>
        </is>
      </c>
      <c r="B61" s="20" t="inlineStr">
        <is>
          <t>GRAD-302</t>
        </is>
      </c>
      <c r="C61" s="20" t="inlineStr">
        <is>
          <t>AC-4</t>
        </is>
      </c>
      <c r="D61" s="20" t="inlineStr">
        <is>
          <t>Eyni Idempotency-Key+body təkrar → 200 (201 yox), eyni id, Idempotent-Replay:true, balans ikinci dəfə azalmır</t>
        </is>
      </c>
      <c r="E61" s="20" t="inlineStr">
        <is>
          <t>Highest (8 SP)</t>
        </is>
      </c>
      <c r="F61" s="21" t="inlineStr">
        <is>
          <t>Tam</t>
        </is>
      </c>
      <c r="G61" s="20" t="inlineStr">
        <is>
          <t>gradBillPayments.spec</t>
        </is>
      </c>
      <c r="H61" s="20" t="inlineStr">
        <is>
          <t>'#74'</t>
        </is>
      </c>
      <c r="I61" s="20" t="n"/>
      <c r="J61" s="20" t="inlineStr">
        <is>
          <t>BillPaymentTest.scenario74_sameIdempotencyKeySameBody_replaysWithoutDoubleCharging</t>
        </is>
      </c>
      <c r="K61" s="20" t="inlineStr">
        <is>
          <t>Avtomat — 2026-10-07 passed</t>
        </is>
      </c>
      <c r="L61" s="20" t="inlineStr">
        <is>
          <t>TC-API-BILL-302-05</t>
        </is>
      </c>
      <c r="M61" s="22" t="inlineStr">
        <is>
          <t>Passed</t>
        </is>
      </c>
      <c r="N61" s="20" t="n"/>
    </row>
    <row r="62" ht="23.25" customHeight="1" s="18">
      <c r="A62" s="20" t="inlineStr">
        <is>
          <t>EPIC-3: Kommunal ödənişlər</t>
        </is>
      </c>
      <c r="B62" s="20" t="inlineStr">
        <is>
          <t>GRAD-302</t>
        </is>
      </c>
      <c r="C62" s="20" t="inlineStr">
        <is>
          <t>AC-5</t>
        </is>
      </c>
      <c r="D62" s="20" t="inlineStr">
        <is>
          <t>Eyni Idempotency-Key, fərqli amount → 409 IDEMPOTENCY_CONFLICT</t>
        </is>
      </c>
      <c r="E62" s="20" t="inlineStr">
        <is>
          <t>Highest (8 SP)</t>
        </is>
      </c>
      <c r="F62" s="21" t="inlineStr">
        <is>
          <t>Tam</t>
        </is>
      </c>
      <c r="G62" s="20" t="inlineStr">
        <is>
          <t>gradBillPayments.spec</t>
        </is>
      </c>
      <c r="H62" s="20" t="inlineStr">
        <is>
          <t>'#75'</t>
        </is>
      </c>
      <c r="I62" s="20" t="n"/>
      <c r="J62" s="20" t="inlineStr">
        <is>
          <t>BillPaymentTest.scenario75_sameIdempotencyKeyDifferentBody_returns409Conflict</t>
        </is>
      </c>
      <c r="K62" s="20" t="inlineStr">
        <is>
          <t>Avtomat — 2026-10-07 passed</t>
        </is>
      </c>
      <c r="L62" s="20" t="inlineStr">
        <is>
          <t>TC-API-BILL-302-06</t>
        </is>
      </c>
      <c r="M62" s="22" t="inlineStr">
        <is>
          <t>Passed</t>
        </is>
      </c>
      <c r="N62" s="20" t="n"/>
    </row>
    <row r="63" ht="34.5" customHeight="1" s="18">
      <c r="A63" s="20" t="inlineStr">
        <is>
          <t>EPIC-3: Kommunal ödənişlər</t>
        </is>
      </c>
      <c r="B63" s="20" t="inlineStr">
        <is>
          <t>GRAD-302</t>
        </is>
      </c>
      <c r="C63" s="20" t="inlineStr">
        <is>
          <t>AC-6</t>
        </is>
      </c>
      <c r="D63" s="20" t="inlineStr">
        <is>
          <t>Idempotency-Key yoxdur → 400 IDEMPOTENCY_KEY_REQUIRED</t>
        </is>
      </c>
      <c r="E63" s="20" t="inlineStr">
        <is>
          <t>Highest (8 SP)</t>
        </is>
      </c>
      <c r="F63" s="21" t="inlineStr">
        <is>
          <t>Tam</t>
        </is>
      </c>
      <c r="G63" s="20" t="inlineStr">
        <is>
          <t>gradBillPayments.spec</t>
        </is>
      </c>
      <c r="H63" s="20" t="inlineStr">
        <is>
          <t>'#72'</t>
        </is>
      </c>
      <c r="I63" s="20" t="inlineStr">
        <is>
          <t>Əlavə: '#73' Idempotency-Key çox qısa → 400 IDEMPOTENCY_KEY_INVALID (AC-dən artıq, 8-64 simvol qaydasını dəstəkləyir).</t>
        </is>
      </c>
      <c r="J63" s="20" t="inlineStr">
        <is>
          <t>BillPaymentTest.scenario72_noIdempotencyKeyHeader_returns400</t>
        </is>
      </c>
      <c r="K63" s="20" t="inlineStr">
        <is>
          <t>Avtomat — 2026-10-07 passed</t>
        </is>
      </c>
      <c r="L63" s="20" t="inlineStr">
        <is>
          <t>TC-API-BILL-302-03</t>
        </is>
      </c>
      <c r="M63" s="22" t="inlineStr">
        <is>
          <t>Passed</t>
        </is>
      </c>
      <c r="N63" s="25" t="inlineStr">
        <is>
          <t>BUG-01 (intermittent 500 əvəzinə 400, 1/10 tam icra)</t>
        </is>
      </c>
    </row>
    <row r="64" ht="45.75" customHeight="1" s="18">
      <c r="A64" s="20" t="inlineStr">
        <is>
          <t>EPIC-3: Kommunal ödənişlər</t>
        </is>
      </c>
      <c r="B64" s="20" t="inlineStr">
        <is>
          <t>GRAD-302</t>
        </is>
      </c>
      <c r="C64" s="20" t="inlineStr">
        <is>
          <t>AC-7</t>
        </is>
      </c>
      <c r="D64" s="20" t="inlineStr">
        <is>
          <t>Azercell-ə Bakcell-pattern nömrə (551234567) → 422 INVALID_SUBSCRIBER</t>
        </is>
      </c>
      <c r="E64" s="20" t="inlineStr">
        <is>
          <t>Highest (8 SP)</t>
        </is>
      </c>
      <c r="F64" s="23" t="inlineStr">
        <is>
          <t>Qismən</t>
        </is>
      </c>
      <c r="G64" s="20" t="inlineStr">
        <is>
          <t>gradBillPayments.spec</t>
        </is>
      </c>
      <c r="H64" s="20" t="inlineStr">
        <is>
          <t>'#80' (fərqli kombinasiya: Azərişıq + həddindən qısa nömrə)</t>
        </is>
      </c>
      <c r="I64" s="20" t="inlineStr">
        <is>
          <t>AC-7-də dəqiq göstərilən Azercell/Bakcell kombinasiyası test edilmir; '#80' INVALID_SUBSCRIBER kod yolunu fərqli biller+nömrə ilə yoxlayır. Dəqiq ssenari fərqlidir (deviation).</t>
        </is>
      </c>
      <c r="J64" s="20" t="inlineStr">
        <is>
          <t>BillPaymentTest.ac7_azercellGivenBakcellNumber_returns422InvalidSubscriber</t>
        </is>
      </c>
      <c r="K64" s="20" t="inlineStr">
        <is>
          <t>Avtomat — 2026-10-07 passed</t>
        </is>
      </c>
      <c r="L64" s="20" t="inlineStr">
        <is>
          <t>TC-API-BILL-302-11</t>
        </is>
      </c>
      <c r="M64" s="22" t="inlineStr">
        <is>
          <t>Passed</t>
        </is>
      </c>
      <c r="N64" s="20" t="n"/>
    </row>
    <row r="65" ht="57" customHeight="1" s="18">
      <c r="A65" s="20" t="inlineStr">
        <is>
          <t>EPIC-3: Kommunal ödənişlər</t>
        </is>
      </c>
      <c r="B65" s="20" t="inlineStr">
        <is>
          <t>GRAD-302</t>
        </is>
      </c>
      <c r="C65" s="20" t="inlineStr">
        <is>
          <t>AC-8</t>
        </is>
      </c>
      <c r="D65" s="20" t="inlineStr">
        <is>
          <t>Azercell: 0.49/200.01 → 422 AMOUNT_OUT_OF_RANGE; 0.50/200.00 qəbul</t>
        </is>
      </c>
      <c r="E65" s="20" t="inlineStr">
        <is>
          <t>Highest (8 SP)</t>
        </is>
      </c>
      <c r="F65" s="23" t="inlineStr">
        <is>
          <t>Qismən (deviation)</t>
        </is>
      </c>
      <c r="G65" s="20" t="inlineStr">
        <is>
          <t>gradBillPayments.spec</t>
        </is>
      </c>
      <c r="H65" s="20" t="inlineStr">
        <is>
          <t>'#85, #86' (CityNet 4.99/150.01 ilə)</t>
        </is>
      </c>
      <c r="I65" s="20" t="inlineStr">
        <is>
          <t>Avtomasiya AC-8-də göstərilən Azercell dəyərləri (0.49/200.01) əvəzinə CityNet dəyərlərini (4.99/150.01) istifadə edir. Məntiq (AMOUNT_OUT_OF_RANGE) eynidir, lakin AC-də göstərilən dəqiq biller/dəyərlər test edilmir.</t>
        </is>
      </c>
      <c r="J65" s="20" t="inlineStr">
        <is>
          <t>BillPaymentTest.scenarios85to86_cityNetAmountOutOfRange
BillPaymentTest.ac8_azercellExactAmountBoundary</t>
        </is>
      </c>
      <c r="K65" s="20" t="inlineStr">
        <is>
          <t>Avtomat — 2026-10-07 passed</t>
        </is>
      </c>
      <c r="L65" s="20" t="inlineStr">
        <is>
          <t>TC-API-BILL-302-16
TC-API-BILL-302-17</t>
        </is>
      </c>
      <c r="M65" s="22" t="inlineStr">
        <is>
          <t>Passed</t>
        </is>
      </c>
      <c r="N65" s="20" t="n"/>
    </row>
    <row r="66" ht="23.25" customHeight="1" s="18">
      <c r="A66" s="20" t="inlineStr">
        <is>
          <t>EPIC-3: Kommunal ödənişlər</t>
        </is>
      </c>
      <c r="B66" s="20" t="inlineStr">
        <is>
          <t>GRAD-302</t>
        </is>
      </c>
      <c r="C66" s="20" t="inlineStr">
        <is>
          <t>AC-9</t>
        </is>
      </c>
      <c r="D66" s="20" t="inlineStr">
        <is>
          <t>CityNet: 5/20/21/150 AZN → fee 0.20/0.20/0.21/1.50</t>
        </is>
      </c>
      <c r="E66" s="20" t="inlineStr">
        <is>
          <t>Highest (8 SP)</t>
        </is>
      </c>
      <c r="F66" s="21" t="inlineStr">
        <is>
          <t>Tam</t>
        </is>
      </c>
      <c r="G66" s="20" t="inlineStr">
        <is>
          <t>gradBillPayments.spec</t>
        </is>
      </c>
      <c r="H66" s="20" t="inlineStr">
        <is>
          <t>'#81,#82,#83,#84'</t>
        </is>
      </c>
      <c r="I66" s="20" t="inlineStr">
        <is>
          <t>Dəqiq AC dəyərləri ilə tam uyğundur.</t>
        </is>
      </c>
      <c r="J66" s="20" t="inlineStr">
        <is>
          <t>BillPaymentTest.scenarios81to84_cityNetFeeBoundary</t>
        </is>
      </c>
      <c r="K66" s="20" t="inlineStr">
        <is>
          <t>Avtomat — 2026-10-07 passed</t>
        </is>
      </c>
      <c r="L66" s="20" t="inlineStr">
        <is>
          <t>TC-API-BILL-302-12
TC-API-BILL-302-13
TC-API-BILL-302-14
TC-API-BILL-302-15</t>
        </is>
      </c>
      <c r="M66" s="22" t="inlineStr">
        <is>
          <t>Passed</t>
        </is>
      </c>
      <c r="N66" s="20" t="n"/>
    </row>
    <row r="67" ht="23.25" customHeight="1" s="18">
      <c r="A67" s="20" t="inlineStr">
        <is>
          <t>EPIC-3: Kommunal ödənişlər</t>
        </is>
      </c>
      <c r="B67" s="20" t="inlineStr">
        <is>
          <t>GRAD-302</t>
        </is>
      </c>
      <c r="C67" s="20" t="inlineStr">
        <is>
          <t>AC-10</t>
        </is>
      </c>
      <c r="D67" s="20" t="inlineStr">
        <is>
          <t>Aztelekom: istənilən məbləğ → fee 0.50 (sabit)</t>
        </is>
      </c>
      <c r="E67" s="20" t="inlineStr">
        <is>
          <t>Highest (8 SP)</t>
        </is>
      </c>
      <c r="F67" s="21" t="inlineStr">
        <is>
          <t>Tam</t>
        </is>
      </c>
      <c r="G67" s="20" t="inlineStr">
        <is>
          <t>gradBillPayments.spec</t>
        </is>
      </c>
      <c r="H67" s="20" t="inlineStr">
        <is>
          <t>'#71'</t>
        </is>
      </c>
      <c r="I67" s="20" t="n"/>
      <c r="J67" s="20" t="inlineStr">
        <is>
          <t>BillPaymentTest.scenario71_aztelekomFixedFee_returns201</t>
        </is>
      </c>
      <c r="K67" s="20" t="inlineStr">
        <is>
          <t>Avtomat — 2026-10-07 passed</t>
        </is>
      </c>
      <c r="L67" s="20" t="inlineStr">
        <is>
          <t>TC-API-BILL-302-02</t>
        </is>
      </c>
      <c r="M67" s="22" t="inlineStr">
        <is>
          <t>Passed</t>
        </is>
      </c>
      <c r="N67" s="20" t="n"/>
    </row>
    <row r="68" ht="23.25" customHeight="1" s="18">
      <c r="A68" s="20" t="inlineStr">
        <is>
          <t>EPIC-3: Kommunal ödənişlər</t>
        </is>
      </c>
      <c r="B68" s="20" t="inlineStr">
        <is>
          <t>GRAD-302</t>
        </is>
      </c>
      <c r="C68" s="20" t="inlineStr">
        <is>
          <t>AC-11</t>
        </is>
      </c>
      <c r="D68" s="20" t="inlineStr">
        <is>
          <t>total 300.01 → 422 PER_TRANSACTION_LIMIT; 300.00 keçir</t>
        </is>
      </c>
      <c r="E68" s="20" t="inlineStr">
        <is>
          <t>Highest (8 SP)</t>
        </is>
      </c>
      <c r="F68" s="21" t="inlineStr">
        <is>
          <t>Tam</t>
        </is>
      </c>
      <c r="G68" s="20" t="inlineStr">
        <is>
          <t>gradBillPayments.spec</t>
        </is>
      </c>
      <c r="H68" s="20" t="inlineStr">
        <is>
          <t>'#87, #88'</t>
        </is>
      </c>
      <c r="I68" s="20" t="n"/>
      <c r="J68" s="20" t="inlineStr">
        <is>
          <t>BillPaymentTest.scenario87_perTransactionLimitExceeded_returns422
BillPaymentTest.scenario88_perTransactionLimitExact300_returns201</t>
        </is>
      </c>
      <c r="K68" s="20" t="inlineStr">
        <is>
          <t>Avtomat — 2026-10-07 passed</t>
        </is>
      </c>
      <c r="L68" s="20" t="inlineStr">
        <is>
          <t>TC-API-BILL-302-18
TC-API-BILL-302-19</t>
        </is>
      </c>
      <c r="M68" s="22" t="inlineStr">
        <is>
          <t>Passed</t>
        </is>
      </c>
      <c r="N68" s="20" t="n"/>
    </row>
    <row r="69" ht="34.5" customHeight="1" s="18">
      <c r="A69" s="20" t="inlineStr">
        <is>
          <t>EPIC-3: Kommunal ödənişlər</t>
        </is>
      </c>
      <c r="B69" s="20" t="inlineStr">
        <is>
          <t>GRAD-302</t>
        </is>
      </c>
      <c r="C69" s="20" t="inlineStr">
        <is>
          <t>AC-12</t>
        </is>
      </c>
      <c r="D69" s="20" t="inlineStr">
        <is>
          <t>Bu gün 500 xərclənib, 1 AZN də ödənir → 422 DAILY_LIMIT_EXCEEDED, remaining:0</t>
        </is>
      </c>
      <c r="E69" s="20" t="inlineStr">
        <is>
          <t>Highest (8 SP)</t>
        </is>
      </c>
      <c r="F69" s="23" t="inlineStr">
        <is>
          <t>Qismən</t>
        </is>
      </c>
      <c r="G69" s="20" t="inlineStr">
        <is>
          <t>gradBillPayments.spec</t>
        </is>
      </c>
      <c r="H69" s="20" t="inlineStr">
        <is>
          <t>'#89'</t>
        </is>
      </c>
      <c r="I69" s="20" t="inlineStr">
        <is>
          <t>Kod (DAILY_LIMIT_EXCEEDED) yoxlanılır, lakin 'remaining':0 sahəsi heç bir assertion-da yoxlanılmır. GAP (qismən).</t>
        </is>
      </c>
      <c r="J69" s="20" t="inlineStr">
        <is>
          <t>BillPaymentTest.scenario89_dailyLimitExceeded_returns422</t>
        </is>
      </c>
      <c r="K69" s="20" t="inlineStr">
        <is>
          <t>Avtomat — 2026-10-07 passed</t>
        </is>
      </c>
      <c r="L69" s="20" t="inlineStr">
        <is>
          <t>TC-API-BILL-302-20</t>
        </is>
      </c>
      <c r="M69" s="22" t="inlineStr">
        <is>
          <t>Passed</t>
        </is>
      </c>
      <c r="N69" s="20" t="n"/>
    </row>
    <row r="70" ht="23.25" customHeight="1" s="18">
      <c r="A70" s="20" t="inlineStr">
        <is>
          <t>EPIC-3: Kommunal ödənişlər</t>
        </is>
      </c>
      <c r="B70" s="20" t="inlineStr">
        <is>
          <t>GRAD-302</t>
        </is>
      </c>
      <c r="C70" s="20" t="inlineStr">
        <is>
          <t>AC-13</t>
        </is>
      </c>
      <c r="D70" s="20" t="inlineStr">
        <is>
          <t>Balans 49.50: 49.51 rədd INSUFFICIENT_FUNDS / 49.50 qəbul, balanceAfter 0</t>
        </is>
      </c>
      <c r="E70" s="20" t="inlineStr">
        <is>
          <t>Highest (8 SP)</t>
        </is>
      </c>
      <c r="F70" s="21" t="inlineStr">
        <is>
          <t>Tam</t>
        </is>
      </c>
      <c r="G70" s="20" t="inlineStr">
        <is>
          <t>gradBillPayments.spec</t>
        </is>
      </c>
      <c r="H70" s="20" t="inlineStr">
        <is>
          <t>'#90, #91'</t>
        </is>
      </c>
      <c r="I70" s="20" t="n"/>
      <c r="J70" s="20" t="inlineStr">
        <is>
          <t>BillPaymentTest.scenario90_insufficientFunds_returns422
BillPaymentTest.scenario91_exactBalanceAmount_returns201WithZeroBalanceAfter</t>
        </is>
      </c>
      <c r="K70" s="20" t="inlineStr">
        <is>
          <t>Avtomat — 2026-10-07 passed</t>
        </is>
      </c>
      <c r="L70" s="20" t="inlineStr">
        <is>
          <t>TC-API-BILL-302-21
TC-API-BILL-302-22</t>
        </is>
      </c>
      <c r="M70" s="22" t="inlineStr">
        <is>
          <t>Passed</t>
        </is>
      </c>
      <c r="N70" s="20" t="n"/>
    </row>
    <row r="71" ht="23.25" customHeight="1" s="18">
      <c r="A71" s="20" t="inlineStr">
        <is>
          <t>EPIC-3: Kommunal ödənişlər</t>
        </is>
      </c>
      <c r="B71" s="20" t="inlineStr">
        <is>
          <t>GRAD-302</t>
        </is>
      </c>
      <c r="C71" s="20" t="inlineStr">
        <is>
          <t>AC-14</t>
        </is>
      </c>
      <c r="D71" s="20" t="inlineStr">
        <is>
          <t>FROZEN kart → CARD_NOT_ACTIVE; USD kart → CURRENCY_NOT_SUPPORTED</t>
        </is>
      </c>
      <c r="E71" s="20" t="inlineStr">
        <is>
          <t>Highest (8 SP)</t>
        </is>
      </c>
      <c r="F71" s="21" t="inlineStr">
        <is>
          <t>Tam</t>
        </is>
      </c>
      <c r="G71" s="20" t="inlineStr">
        <is>
          <t>gradBillPayments.spec</t>
        </is>
      </c>
      <c r="H71" s="20" t="inlineStr">
        <is>
          <t>'#92 (FROZEN), #93 (BLOCKED), #94 (USD)'</t>
        </is>
      </c>
      <c r="I71" s="20" t="inlineStr">
        <is>
          <t>BLOCKED kartla ödəniş də əlavə test olunur (AC-14 FROZEN-i açıq deyir, BLOCKED AC-7-yə uyğundur).</t>
        </is>
      </c>
      <c r="J71" s="20" t="inlineStr">
        <is>
          <t>BillPaymentTest.scenario92_frozenCardPaymentAttempt_returns422CardNotActive
BillPaymentTest.scenario93_blockedCardPaymentAttempt_returns422CardNotActive
BillPaymentTest.scenario94_usdCardPayment_returns422CurrencyNotSupported</t>
        </is>
      </c>
      <c r="K71" s="20" t="inlineStr">
        <is>
          <t>Avtomat — 2026-10-07 passed</t>
        </is>
      </c>
      <c r="L71" s="20" t="inlineStr">
        <is>
          <t>TC-API-BILL-302-23
TC-API-BILL-302-24
TC-API-BILL-302-25</t>
        </is>
      </c>
      <c r="M71" s="22" t="inlineStr">
        <is>
          <t>Passed</t>
        </is>
      </c>
      <c r="N71" s="20" t="n"/>
    </row>
    <row r="72" ht="23.25" customHeight="1" s="18">
      <c r="A72" s="20" t="inlineStr">
        <is>
          <t>EPIC-3: Kommunal ödənişlər</t>
        </is>
      </c>
      <c r="B72" s="20" t="inlineStr">
        <is>
          <t>GRAD-302</t>
        </is>
      </c>
      <c r="C72" s="20" t="inlineStr">
        <is>
          <t>AC-15</t>
        </is>
      </c>
      <c r="D72" s="20" t="inlineStr">
        <is>
          <t>amount mətn ("10") → 400 VALIDATION_ERROR</t>
        </is>
      </c>
      <c r="E72" s="20" t="inlineStr">
        <is>
          <t>Highest (8 SP)</t>
        </is>
      </c>
      <c r="F72" s="21" t="inlineStr">
        <is>
          <t>Tam</t>
        </is>
      </c>
      <c r="G72" s="20" t="inlineStr">
        <is>
          <t>gradBillPayments.spec</t>
        </is>
      </c>
      <c r="H72" s="20" t="inlineStr">
        <is>
          <t>'#79'</t>
        </is>
      </c>
      <c r="I72" s="20" t="n"/>
      <c r="J72" s="20" t="inlineStr">
        <is>
          <t>BillPaymentTest.scenario79_amountAsText_returns400ValidationError
BillPaymentTest.gap03_invalidMoneyAmount_returns400ValidationError</t>
        </is>
      </c>
      <c r="K72" s="20" t="inlineStr">
        <is>
          <t>Avtomat — 2026-10-07 passed + yeni test (icra gözlənilir)</t>
        </is>
      </c>
      <c r="L72" s="20" t="inlineStr">
        <is>
          <t>TC-API-BILL-302-10</t>
        </is>
      </c>
      <c r="M72" s="22" t="inlineStr">
        <is>
          <t>Passed</t>
        </is>
      </c>
      <c r="N72" s="20" t="n"/>
    </row>
    <row r="73" ht="34.5" customHeight="1" s="18">
      <c r="A73" s="20" t="inlineStr">
        <is>
          <t>EPIC-3: Kommunal ödənişlər</t>
        </is>
      </c>
      <c r="B73" s="20" t="inlineStr">
        <is>
          <t>GRAD-302</t>
        </is>
      </c>
      <c r="C73" s="20" t="inlineStr">
        <is>
          <t>Əlavə</t>
        </is>
      </c>
      <c r="D73" s="20" t="inlineStr">
        <is>
          <t>Mövcud olmayan billerId → 404 BILLER_NOT_FOUND; mövcud olmayan cardId → 404 CARD_NOT_FOUND; token yox → 401</t>
        </is>
      </c>
      <c r="E73" s="20" t="inlineStr">
        <is>
          <t>Highest (8 SP)</t>
        </is>
      </c>
      <c r="F73" s="21" t="inlineStr">
        <is>
          <t>Tam (AC-dən əlavə)</t>
        </is>
      </c>
      <c r="G73" s="20" t="inlineStr">
        <is>
          <t>gradBillPayments.spec</t>
        </is>
      </c>
      <c r="H73" s="20" t="inlineStr">
        <is>
          <t>'#76, #77, #78'</t>
        </is>
      </c>
      <c r="I73" s="20" t="inlineStr">
        <is>
          <t>Ümumi yoxlama ardıcıllığı qaydalarını dəstəkləyir.</t>
        </is>
      </c>
      <c r="J73" s="20" t="inlineStr">
        <is>
          <t>BillPaymentTest.scenario73_idempotencyKeyTooShort_returns400
BillPaymentTest.scenario76_nonExistentBillerId_returns404
BillPaymentTest.scenario77_nonExistentCardId_returns404
BillPaymentTest.scenario80_azerisiqInvalidSubscriberFormat_returns422
BillPaymentTest.scenario78_noToken_returns401</t>
        </is>
      </c>
      <c r="K73" s="20" t="inlineStr">
        <is>
          <t>Avtomat — 2026-10-07 passed</t>
        </is>
      </c>
      <c r="L73" s="20" t="inlineStr">
        <is>
          <t>TC-API-BILL-302-04
TC-API-BILL-302-07
TC-API-BILL-302-08
TC-API-BILL-302-09</t>
        </is>
      </c>
      <c r="M73" s="22" t="inlineStr">
        <is>
          <t>Passed</t>
        </is>
      </c>
      <c r="N73" s="20" t="n"/>
    </row>
    <row r="74" ht="23.25" customHeight="1" s="18">
      <c r="A74" s="20" t="inlineStr">
        <is>
          <t>EPIC-3: Kommunal ödənişlər</t>
        </is>
      </c>
      <c r="B74" s="20" t="inlineStr">
        <is>
          <t>GRAD-303</t>
        </is>
      </c>
      <c r="C74" s="20" t="inlineStr">
        <is>
          <t>AC-1</t>
        </is>
      </c>
      <c r="D74" s="20" t="inlineStr">
        <is>
          <t>Parametrsiz → 200; page 1, limit 10; ən yeni ödəniş birinci</t>
        </is>
      </c>
      <c r="E74" s="20" t="inlineStr">
        <is>
          <t>Medium (5 SP)</t>
        </is>
      </c>
      <c r="F74" s="21" t="inlineStr">
        <is>
          <t>Tam</t>
        </is>
      </c>
      <c r="G74" s="20" t="inlineStr">
        <is>
          <t>gradPaymentHistory.spec</t>
        </is>
      </c>
      <c r="H74" s="20" t="inlineStr">
        <is>
          <t>'#1'</t>
        </is>
      </c>
      <c r="I74" s="20" t="n"/>
      <c r="J74" s="20" t="inlineStr">
        <is>
          <t>PaymentHistoryTest.scenario1_noParams_defaultPageLimit</t>
        </is>
      </c>
      <c r="K74" s="20" t="inlineStr">
        <is>
          <t>Avtomat — 2026-10-07 passed</t>
        </is>
      </c>
      <c r="L74" s="20" t="inlineStr">
        <is>
          <t>TC-API-BILL-303-01</t>
        </is>
      </c>
      <c r="M74" s="22" t="inlineStr">
        <is>
          <t>Passed</t>
        </is>
      </c>
      <c r="N74" s="20" t="n"/>
    </row>
    <row r="75" ht="23.25" customHeight="1" s="18">
      <c r="A75" s="20" t="inlineStr">
        <is>
          <t>EPIC-3: Kommunal ödənişlər</t>
        </is>
      </c>
      <c r="B75" s="20" t="inlineStr">
        <is>
          <t>GRAD-303</t>
        </is>
      </c>
      <c r="C75" s="20" t="inlineStr">
        <is>
          <t>AC-2</t>
        </is>
      </c>
      <c r="D75" s="20" t="inlineStr">
        <is>
          <t>18 ödəniş, limit 10, page=2 → 8 element; totalPages 2</t>
        </is>
      </c>
      <c r="E75" s="20" t="inlineStr">
        <is>
          <t>Medium (5 SP)</t>
        </is>
      </c>
      <c r="F75" s="21" t="inlineStr">
        <is>
          <t>Tam</t>
        </is>
      </c>
      <c r="G75" s="20" t="inlineStr">
        <is>
          <t>gradPaymentHistory.spec</t>
        </is>
      </c>
      <c r="H75" s="20" t="inlineStr">
        <is>
          <t>'#2'</t>
        </is>
      </c>
      <c r="I75" s="20" t="inlineStr">
        <is>
          <t>Azalan sıra (createdAt) da yoxlanılır.</t>
        </is>
      </c>
      <c r="J75" s="20" t="inlineStr">
        <is>
          <t>PaymentHistoryTest.scenario2_pagination_18Payments_page2</t>
        </is>
      </c>
      <c r="K75" s="20" t="inlineStr">
        <is>
          <t>Avtomat — 2026-10-07 passed</t>
        </is>
      </c>
      <c r="L75" s="20" t="inlineStr">
        <is>
          <t>TC-API-BILL-303-02</t>
        </is>
      </c>
      <c r="M75" s="22" t="inlineStr">
        <is>
          <t>Passed</t>
        </is>
      </c>
      <c r="N75" s="20" t="n"/>
    </row>
    <row r="76" ht="23.25" customHeight="1" s="18">
      <c r="A76" s="20" t="inlineStr">
        <is>
          <t>EPIC-3: Kommunal ödənişlər</t>
        </is>
      </c>
      <c r="B76" s="20" t="inlineStr">
        <is>
          <t>GRAD-303</t>
        </is>
      </c>
      <c r="C76" s="20" t="inlineStr">
        <is>
          <t>AC-3</t>
        </is>
      </c>
      <c r="D76" s="20" t="inlineStr">
        <is>
          <t>page=3 (mövcud deyil) → 200, items []</t>
        </is>
      </c>
      <c r="E76" s="20" t="inlineStr">
        <is>
          <t>Medium (5 SP)</t>
        </is>
      </c>
      <c r="F76" s="21" t="inlineStr">
        <is>
          <t>Tam</t>
        </is>
      </c>
      <c r="G76" s="20" t="inlineStr">
        <is>
          <t>gradPaymentHistory.spec</t>
        </is>
      </c>
      <c r="H76" s="20" t="inlineStr">
        <is>
          <t>'#3'</t>
        </is>
      </c>
      <c r="I76" s="20" t="n"/>
      <c r="J76" s="20" t="inlineStr">
        <is>
          <t>PaymentHistoryTest.scenario3_nonExistentPage_emptyResult</t>
        </is>
      </c>
      <c r="K76" s="20" t="inlineStr">
        <is>
          <t>Avtomat — 2026-10-07 passed</t>
        </is>
      </c>
      <c r="L76" s="20" t="inlineStr">
        <is>
          <t>TC-API-BILL-303-03</t>
        </is>
      </c>
      <c r="M76" s="22" t="inlineStr">
        <is>
          <t>Passed</t>
        </is>
      </c>
      <c r="N76" s="20" t="n"/>
    </row>
    <row r="77" ht="34.5" customHeight="1" s="18">
      <c r="A77" s="20" t="inlineStr">
        <is>
          <t>EPIC-3: Kommunal ödənişlər</t>
        </is>
      </c>
      <c r="B77" s="20" t="inlineStr">
        <is>
          <t>GRAD-303</t>
        </is>
      </c>
      <c r="C77" s="20" t="inlineStr">
        <is>
          <t>AC-4</t>
        </is>
      </c>
      <c r="D77" s="20" t="inlineStr">
        <is>
          <t>limit=0/51, page=0/-1/abc → 400; limit 1 və 50 qəbul olunur</t>
        </is>
      </c>
      <c r="E77" s="20" t="inlineStr">
        <is>
          <t>Medium (5 SP)</t>
        </is>
      </c>
      <c r="F77" s="23" t="inlineStr">
        <is>
          <t>Qismən</t>
        </is>
      </c>
      <c r="G77" s="20" t="inlineStr">
        <is>
          <t>gradPaymentHistory.spec</t>
        </is>
      </c>
      <c r="H77" s="20" t="inlineStr">
        <is>
          <t>'#4,#5,#6,#7,#8' (yalnız rədd tərəfi)</t>
        </is>
      </c>
      <c r="I77" s="20" t="inlineStr">
        <is>
          <t>Rədd ssenariləri (limit=0/51, page=0/-1/abc) tam örtülüb; lakin limitin QƏBUL olunan sərhədləri (limit=1, limit=50) heç bir testdə ayrıca yoxlanılmır. GAP (qismən).</t>
        </is>
      </c>
      <c r="J77" s="20" t="inlineStr">
        <is>
          <t>PaymentHistoryTest.scenario4_limitZero_rejected
PaymentHistoryTest.scenario5_limitFiftyOne_rejected
PaymentHistoryTest.scenario6_pageZero_rejected
PaymentHistoryTest.scenario7_pageNegativeOne_rejected
PaymentHistoryTest.scenario8_pageAbc_rejected
PaymentHistoryTest.newGap_limitOne_acceptedLowerBoundary
PaymentHistoryTest.newGap_limitFifty_acceptedUpperBoundary</t>
        </is>
      </c>
      <c r="K77" s="20" t="inlineStr">
        <is>
          <t>Avtomat — 2026-10-07 passed</t>
        </is>
      </c>
      <c r="L77" s="20" t="inlineStr">
        <is>
          <t>TC-API-BILL-303-04
TC-API-BILL-303-05
TC-API-BILL-303-06
TC-API-BILL-303-07
TC-API-BILL-303-08</t>
        </is>
      </c>
      <c r="M77" s="22" t="inlineStr">
        <is>
          <t>Passed</t>
        </is>
      </c>
      <c r="N77" s="20" t="n"/>
    </row>
    <row r="78" ht="23.25" customHeight="1" s="18">
      <c r="A78" s="20" t="inlineStr">
        <is>
          <t>EPIC-3: Kommunal ödənişlər</t>
        </is>
      </c>
      <c r="B78" s="20" t="inlineStr">
        <is>
          <t>GRAD-303</t>
        </is>
      </c>
      <c r="C78" s="20" t="inlineStr">
        <is>
          <t>AC-5</t>
        </is>
      </c>
      <c r="D78" s="20" t="inlineStr">
        <is>
          <t>from=2026-13-01 (mövcud olmayan tarix) → 400</t>
        </is>
      </c>
      <c r="E78" s="20" t="inlineStr">
        <is>
          <t>Medium (5 SP)</t>
        </is>
      </c>
      <c r="F78" s="21" t="inlineStr">
        <is>
          <t>Tam</t>
        </is>
      </c>
      <c r="G78" s="20" t="inlineStr">
        <is>
          <t>gradPaymentHistory.spec</t>
        </is>
      </c>
      <c r="H78" s="20" t="inlineStr">
        <is>
          <t>'#9'</t>
        </is>
      </c>
      <c r="I78" s="20" t="n"/>
      <c r="J78" s="20" t="inlineStr">
        <is>
          <t>PaymentHistoryTest.scenario9_nonExistentDate_rejected</t>
        </is>
      </c>
      <c r="K78" s="20" t="inlineStr">
        <is>
          <t>Avtomat — 2026-10-07 passed</t>
        </is>
      </c>
      <c r="L78" s="20" t="inlineStr">
        <is>
          <t>TC-API-BILL-303-09</t>
        </is>
      </c>
      <c r="M78" s="22" t="inlineStr">
        <is>
          <t>Passed</t>
        </is>
      </c>
      <c r="N78" s="20" t="n"/>
    </row>
    <row r="79" ht="23.25" customHeight="1" s="18">
      <c r="A79" s="20" t="inlineStr">
        <is>
          <t>EPIC-3: Kommunal ödənişlər</t>
        </is>
      </c>
      <c r="B79" s="20" t="inlineStr">
        <is>
          <t>GRAD-303</t>
        </is>
      </c>
      <c r="C79" s="20" t="inlineStr">
        <is>
          <t>AC-6</t>
        </is>
      </c>
      <c r="D79" s="20" t="inlineStr">
        <is>
          <t>from &gt; to → 400</t>
        </is>
      </c>
      <c r="E79" s="20" t="inlineStr">
        <is>
          <t>Medium (5 SP)</t>
        </is>
      </c>
      <c r="F79" s="21" t="inlineStr">
        <is>
          <t>Tam</t>
        </is>
      </c>
      <c r="G79" s="20" t="inlineStr">
        <is>
          <t>gradPaymentHistory.spec</t>
        </is>
      </c>
      <c r="H79" s="20" t="inlineStr">
        <is>
          <t>'#10'</t>
        </is>
      </c>
      <c r="I79" s="20" t="n"/>
      <c r="J79" s="20" t="inlineStr">
        <is>
          <t>PaymentHistoryTest.scenario10_fromGreaterThanTo_rejected</t>
        </is>
      </c>
      <c r="K79" s="20" t="inlineStr">
        <is>
          <t>Avtomat — 2026-10-07 passed</t>
        </is>
      </c>
      <c r="L79" s="20" t="inlineStr">
        <is>
          <t>TC-API-BILL-303-10</t>
        </is>
      </c>
      <c r="M79" s="22" t="inlineStr">
        <is>
          <t>Passed</t>
        </is>
      </c>
      <c r="N79" s="20" t="n"/>
    </row>
    <row r="80" ht="23.25" customHeight="1" s="18">
      <c r="A80" s="20" t="inlineStr">
        <is>
          <t>EPIC-3: Kommunal ödənişlər</t>
        </is>
      </c>
      <c r="B80" s="20" t="inlineStr">
        <is>
          <t>GRAD-303</t>
        </is>
      </c>
      <c r="C80" s="20" t="inlineStr">
        <is>
          <t>AC-7</t>
        </is>
      </c>
      <c r="D80" s="20" t="inlineStr">
        <is>
          <t>from=to=bu gün → bu günün bütün ödənişləri</t>
        </is>
      </c>
      <c r="E80" s="20" t="inlineStr">
        <is>
          <t>Medium (5 SP)</t>
        </is>
      </c>
      <c r="F80" s="21" t="inlineStr">
        <is>
          <t>Tam</t>
        </is>
      </c>
      <c r="G80" s="20" t="inlineStr">
        <is>
          <t>gradPaymentHistory.spec</t>
        </is>
      </c>
      <c r="H80" s="20" t="inlineStr">
        <is>
          <t>'#11'</t>
        </is>
      </c>
      <c r="I80" s="20" t="n"/>
      <c r="J80" s="20" t="inlineStr">
        <is>
          <t>PaymentHistoryTest.scenario11_fromEqualsToToday</t>
        </is>
      </c>
      <c r="K80" s="20" t="inlineStr">
        <is>
          <t>Avtomat — 2026-10-07 passed</t>
        </is>
      </c>
      <c r="L80" s="20" t="inlineStr">
        <is>
          <t>TC-API-BILL-303-11
TC-API-BILL-303-14</t>
        </is>
      </c>
      <c r="M80" s="22" t="inlineStr">
        <is>
          <t>Passed</t>
        </is>
      </c>
      <c r="N80" s="20" t="n"/>
    </row>
    <row r="81" ht="23.25" customHeight="1" s="18">
      <c r="A81" s="20" t="inlineStr">
        <is>
          <t>EPIC-3: Kommunal ödənişlər</t>
        </is>
      </c>
      <c r="B81" s="20" t="inlineStr">
        <is>
          <t>GRAD-303</t>
        </is>
      </c>
      <c r="C81" s="20" t="inlineStr">
        <is>
          <t>AC-8</t>
        </is>
      </c>
      <c r="D81" s="20" t="inlineStr">
        <is>
          <t>billerId=citynet → yalnız citynet ödənişləri</t>
        </is>
      </c>
      <c r="E81" s="20" t="inlineStr">
        <is>
          <t>Medium (5 SP)</t>
        </is>
      </c>
      <c r="F81" s="21" t="inlineStr">
        <is>
          <t>Tam</t>
        </is>
      </c>
      <c r="G81" s="20" t="inlineStr">
        <is>
          <t>gradPaymentHistory.spec</t>
        </is>
      </c>
      <c r="H81" s="20" t="inlineStr">
        <is>
          <t>'#12'</t>
        </is>
      </c>
      <c r="I81" s="20" t="n"/>
      <c r="J81" s="20" t="inlineStr">
        <is>
          <t>PaymentHistoryTest.scenario12_billerIdCitynetFilter</t>
        </is>
      </c>
      <c r="K81" s="20" t="inlineStr">
        <is>
          <t>Avtomat — 2026-10-07 passed</t>
        </is>
      </c>
      <c r="L81" s="20" t="inlineStr">
        <is>
          <t>TC-API-BILL-303-12</t>
        </is>
      </c>
      <c r="M81" s="22" t="inlineStr">
        <is>
          <t>Passed</t>
        </is>
      </c>
      <c r="N81" s="20" t="n"/>
    </row>
    <row r="82" ht="23.25" customHeight="1" s="18">
      <c r="A82" s="20" t="inlineStr">
        <is>
          <t>EPIC-3: Kommunal ödənişlər</t>
        </is>
      </c>
      <c r="B82" s="20" t="inlineStr">
        <is>
          <t>GRAD-303</t>
        </is>
      </c>
      <c r="C82" s="20" t="inlineStr">
        <is>
          <t>Əlavə</t>
        </is>
      </c>
      <c r="D82" s="20" t="inlineStr">
        <is>
          <t>Token yoxdur → 401</t>
        </is>
      </c>
      <c r="E82" s="20" t="inlineStr">
        <is>
          <t>Medium (5 SP)</t>
        </is>
      </c>
      <c r="F82" s="21" t="inlineStr">
        <is>
          <t>Tam (AC-dən əlavə)</t>
        </is>
      </c>
      <c r="G82" s="20" t="inlineStr">
        <is>
          <t>gradPaymentHistory.spec</t>
        </is>
      </c>
      <c r="H82" s="20" t="inlineStr">
        <is>
          <t>'#13'</t>
        </is>
      </c>
      <c r="I82" s="20" t="n"/>
      <c r="J82" s="20" t="inlineStr">
        <is>
          <t>PaymentHistoryTest.scenario13_noToken_returns401</t>
        </is>
      </c>
      <c r="K82" s="20" t="inlineStr">
        <is>
          <t>Avtomat — 2026-10-07 passed</t>
        </is>
      </c>
      <c r="L82" s="20" t="inlineStr">
        <is>
          <t>TC-API-BILL-303-13</t>
        </is>
      </c>
      <c r="M82" s="22" t="inlineStr">
        <is>
          <t>Passed</t>
        </is>
      </c>
      <c r="N82" s="20" t="n"/>
    </row>
    <row r="83" ht="23.25" customHeight="1" s="18">
      <c r="A83" s="26" t="inlineStr">
        <is>
          <t>ÜMUMİ QAYDALAR</t>
        </is>
      </c>
      <c r="B83" s="27" t="inlineStr">
        <is>
          <t>Bütün endpointlər</t>
        </is>
      </c>
      <c r="C83" s="20" t="inlineStr">
        <is>
          <t>Qayda-1</t>
        </is>
      </c>
      <c r="D83" s="20" t="inlineStr">
        <is>
          <t>Error format: {error, code} — koda görə assert, mesaja yox</t>
        </is>
      </c>
      <c r="E83" s="20" t="inlineStr">
        <is>
          <t>Bütün ticketlər üçün keçərli</t>
        </is>
      </c>
      <c r="F83" s="21" t="inlineStr">
        <is>
          <t>Tam</t>
        </is>
      </c>
      <c r="G83" s="20" t="inlineStr">
        <is>
          <t>Bütün spec faylları</t>
        </is>
      </c>
      <c r="H83" s="20" t="inlineStr">
        <is>
          <t>—</t>
        </is>
      </c>
      <c r="I83" s="20" t="inlineStr">
        <is>
          <t>Hər neqativ ssenaridə 'code' sahəsi assert edilir, mesaj mətni yox — qaydaya tam riayət edilir.</t>
        </is>
      </c>
      <c r="J83" s="20" t="inlineStr">
        <is>
          <t>BaseApiTest.error(status, code) / validationError(field) — bütün xəta testlərində (schemas/error.json + code)</t>
        </is>
      </c>
      <c r="K83" s="20" t="inlineStr">
        <is>
          <t>Avtomat — bütün xəta testlərində (2026-10-07 passed: kod assert-ləri)</t>
        </is>
      </c>
      <c r="L83" s="20" t="inlineStr">
        <is>
          <t>Bütün neqativ API test case-ləri (xəta formatı {error, code})</t>
        </is>
      </c>
      <c r="M83" s="22" t="inlineStr">
        <is>
          <t>Passed (bütün xəta testlərində)</t>
        </is>
      </c>
      <c r="N83" s="20" t="n"/>
    </row>
    <row r="84" ht="45.75" customHeight="1" s="18">
      <c r="A84" s="26" t="inlineStr">
        <is>
          <t>ÜMUMİ QAYDALAR</t>
        </is>
      </c>
      <c r="B84" s="27" t="inlineStr">
        <is>
          <t>Bütün endpointlər</t>
        </is>
      </c>
      <c r="C84" s="20" t="inlineStr">
        <is>
          <t>Qayda-2</t>
        </is>
      </c>
      <c r="D84" s="20" t="inlineStr">
        <is>
          <t>Sahiblik olmayan resursa giriş → 404 (403 yox)</t>
        </is>
      </c>
      <c r="E84" s="20" t="inlineStr">
        <is>
          <t>Bütün ticketlər üçün keçərli</t>
        </is>
      </c>
      <c r="F84" s="23" t="inlineStr">
        <is>
          <t>Qismən</t>
        </is>
      </c>
      <c r="G84" s="20" t="inlineStr">
        <is>
          <t>gradDeleteBeneficiary.spec, gradGetCard.spec</t>
        </is>
      </c>
      <c r="H84" s="20" t="inlineStr">
        <is>
          <t>GRAD-103 IDOR, GRAD-202 IDOR</t>
        </is>
      </c>
      <c r="I84" s="20" t="inlineStr">
        <is>
          <t>Yalnız DELETE /beneficiaries/{id} və GET /cards/{id} üçün test olunub. POST /cards/{id}/block və /unblock üçün YOXDUR (yuxarıdaki GRAD-203/204 gap qeydlərinə bax).</t>
        </is>
      </c>
      <c r="J84" s="20" t="inlineStr">
        <is>
          <t>BeneficiaryDeleteTest.ac4_idorAnotherUsersBeneficiary_returns404NotFound
CardGetTest.anotherUsersCard_idor_returns404NotFound
CardBlockTest.newGapClosing_blockAnotherUsersCard_returns404NotFound
CardUnblockTest.idor_anotherUsersCardUnblockAttempt_returns404NotFound</t>
        </is>
      </c>
      <c r="K84" s="20" t="inlineStr">
        <is>
          <t>Avtomat — 2026-10-07 passed</t>
        </is>
      </c>
      <c r="L84" s="20" t="inlineStr">
        <is>
          <t>TC-API-BEN-103-06
TC-API-CARD-202-05
TC-API-CARD-203-10
TC-API-CARD-204-07</t>
        </is>
      </c>
      <c r="M84" s="22" t="inlineStr">
        <is>
          <t>Passed</t>
        </is>
      </c>
      <c r="N84" s="20" t="n"/>
    </row>
    <row r="85" ht="23.25" customHeight="1" s="18">
      <c r="A85" s="26" t="inlineStr">
        <is>
          <t>ÜMUMİ QAYDALAR</t>
        </is>
      </c>
      <c r="B85" s="27" t="inlineStr">
        <is>
          <t>Bütün endpointlər</t>
        </is>
      </c>
      <c r="C85" s="20" t="inlineStr">
        <is>
          <t>Qayda-3</t>
        </is>
      </c>
      <c r="D85" s="20" t="inlineStr">
        <is>
          <t>Rate limit: 600 sorğu/10 saniyə (token/sessiya üzrə)</t>
        </is>
      </c>
      <c r="E85" s="20" t="inlineStr">
        <is>
          <t>Bütün ticketlər üçün keçərli</t>
        </is>
      </c>
      <c r="F85" s="24" t="inlineStr">
        <is>
          <t>YOXDUR</t>
        </is>
      </c>
      <c r="G85" s="20" t="inlineStr">
        <is>
          <t>—</t>
        </is>
      </c>
      <c r="H85" s="20" t="inlineStr">
        <is>
          <t>—</t>
        </is>
      </c>
      <c r="I85" s="20" t="inlineStr">
        <is>
          <t>AC-Reference-də özü 'HƏLƏ TEST EDİLMƏYİB' kimi işarələnib. Heç bir spec faylında test yoxdur.</t>
        </is>
      </c>
      <c r="J85" s="20" t="inlineStr">
        <is>
          <t>RateLimitTest.exceedingRateLimit_returns429RateLimited</t>
        </is>
      </c>
      <c r="K85" s="20" t="inlineStr">
        <is>
          <t>Avtomat test ayrıca suite-dədir (testng-ratelimit.xml) — 12.10 icra: 429 RATE_LIMITED + schema, Passed. Manual icra (curl, 1000 sorğu): 09.10 → 837×200, 163×429 (3.8 s); 11.10 → 620×200, 380×429 (3.2 s) → BUG-03 (2/2)</t>
        </is>
      </c>
      <c r="L85" s="20" t="inlineStr">
        <is>
          <t>TC-API-GEN-01</t>
        </is>
      </c>
      <c r="M85" s="28" t="inlineStr">
        <is>
          <t>TC-API-GEN-01: Failed</t>
        </is>
      </c>
      <c r="N85" s="25" t="inlineStr">
        <is>
          <t>BUG-03 (limit 600 əvəzinə 620–837 sorğudan sonra işə düşür, 2/2)</t>
        </is>
      </c>
    </row>
    <row r="86" ht="23.25" customHeight="1" s="18">
      <c r="A86" s="26" t="inlineStr">
        <is>
          <t>ÜMUMİ QAYDALAR</t>
        </is>
      </c>
      <c r="B86" s="27" t="inlineStr">
        <is>
          <t>Bütün endpointlər</t>
        </is>
      </c>
      <c r="C86" s="20" t="inlineStr">
        <is>
          <t>Qayda-4</t>
        </is>
      </c>
      <c r="D86" s="20" t="inlineStr">
        <is>
          <t>Token 24 saat etibarlıdır, sandbox data 24 saatdan sonra sıfırlanır</t>
        </is>
      </c>
      <c r="E86" s="20" t="inlineStr">
        <is>
          <t>Bütün ticketlər üçün keçərli</t>
        </is>
      </c>
      <c r="F86" s="24" t="inlineStr">
        <is>
          <t>YOXDUR</t>
        </is>
      </c>
      <c r="G86" s="20" t="inlineStr">
        <is>
          <t>—</t>
        </is>
      </c>
      <c r="H86" s="20" t="inlineStr">
        <is>
          <t>—</t>
        </is>
      </c>
      <c r="I86" s="20" t="inlineStr">
        <is>
          <t>AC-Reference-də özü 'HƏLƏ TEST EDİLMƏYİB' kimi işarələnib. Heç bir spec faylında test yoxdur.</t>
        </is>
      </c>
      <c r="J86" s="20" t="inlineStr">
        <is>
          <t>AuthTokenTest.login_validCredentials_returnsTokenAndUser
AuthTokenTest.sameToken_reusableAcrossMultipleRequests
AuthTokenTest.newLogin_returnsNewTokenWithIsolatedSandbox
AuthTokenTest.firstToken_staysValidWithOwnData_afterSecondLogin
AuthTokenTest.tamperedToken_returns401</t>
        </is>
      </c>
      <c r="K86" s="20" t="inlineStr">
        <is>
          <t>AuthTokenTest — 09.10 passed (147/147). 24 saat müddəti: TC-API-GEN-02 manual, 11.10 Passed (401); sandbox sıfırlanması: TC-API-GEN-03 Blocked</t>
        </is>
      </c>
      <c r="L86" s="20" t="inlineStr">
        <is>
          <t>TC-API-GEN-02
TC-API-GEN-03</t>
        </is>
      </c>
      <c r="M86" s="28" t="inlineStr">
        <is>
          <t>Qismən — TC-API-GEN-02: Passed (11.10, 401); TC-API-GEN-03: Blocked</t>
        </is>
      </c>
      <c r="N86" s="20" t="n"/>
    </row>
    <row r="87" ht="45.75" customHeight="1" s="18">
      <c r="A87" s="26" t="inlineStr">
        <is>
          <t>ÜMUMİ QAYDALAR</t>
        </is>
      </c>
      <c r="B87" s="27" t="inlineStr">
        <is>
          <t>Bütün endpointlər</t>
        </is>
      </c>
      <c r="C87" s="20" t="inlineStr">
        <is>
          <t>Qayda-5</t>
        </is>
      </c>
      <c r="D87" s="20" t="inlineStr">
        <is>
          <t>Pul sahələri number, maksimum 2 onluq</t>
        </is>
      </c>
      <c r="E87" s="20" t="inlineStr">
        <is>
          <t>Bütün ticketlər üçün keçərli</t>
        </is>
      </c>
      <c r="F87" s="23" t="inlineStr">
        <is>
          <t>Qismən</t>
        </is>
      </c>
      <c r="G87" s="20" t="inlineStr">
        <is>
          <t>gradCreateCard.spec (GRAD-201 AC-4), gradBillPayments.spec (GRAD-302 AC-15)</t>
        </is>
      </c>
      <c r="H87" s="20" t="inlineStr">
        <is>
          <t>'10.555' (kart) → 400; amount mətn kimi ("10") → 400</t>
        </is>
      </c>
      <c r="I87" s="20" t="inlineStr">
        <is>
          <t>AC-Reference-də özü 'hələ ayrıca test edilməyib' kimi qeyd olunub. Yalnız qismən (mətn forması və 3-decimal nümunəsi kartda) örtülüb; onluq dəqiqliyi bill-payments amount üçün ayrıca sərhəd testi yoxdur.</t>
        </is>
      </c>
      <c r="J87" s="20" t="inlineStr">
        <is>
          <t>CardCreateTest.initialAmountFormatErrors_return400
BillPaymentTest.scenario79_amountAsText_returns400ValidationError
BillPaymentTest.gap03_invalidMoneyAmount_returns400ValidationError</t>
        </is>
      </c>
      <c r="K87" s="20" t="inlineStr">
        <is>
          <t>Avtomat — 2026-10-07 passed + yeni test (icra gözlənilir)</t>
        </is>
      </c>
      <c r="L87" s="20" t="inlineStr">
        <is>
          <t>TC-API-CARD-201-04
TC-API-BILL-302-10</t>
        </is>
      </c>
      <c r="M87" s="22" t="inlineStr">
        <is>
          <t>Passed</t>
        </is>
      </c>
      <c r="N87" s="20" t="n"/>
    </row>
  </sheetData>
  <autoFilter ref="A1:I8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10" customWidth="1" style="17" min="2" max="2"/>
    <col width="8" customWidth="1" style="17" min="3" max="3"/>
    <col width="10" customWidth="1" style="17" min="4" max="5"/>
    <col width="28" customWidth="1" style="17" min="6" max="6"/>
    <col width="22" customWidth="1" style="17" min="7" max="7"/>
    <col width="24" customWidth="1" style="17" min="8" max="8"/>
    <col width="22" customWidth="1" style="17" min="9" max="9"/>
    <col width="18" customWidth="1" style="17" min="10" max="10"/>
  </cols>
  <sheetData>
    <row r="1" ht="15" customHeight="1" s="18">
      <c r="A1" s="19" t="inlineStr">
        <is>
          <t>Ticket</t>
        </is>
      </c>
      <c r="B1" s="19" t="inlineStr">
        <is>
          <t>Cəmi AC</t>
        </is>
      </c>
      <c r="C1" s="19" t="inlineStr">
        <is>
          <t>Tam</t>
        </is>
      </c>
      <c r="D1" s="19" t="inlineStr">
        <is>
          <t>Qismən</t>
        </is>
      </c>
      <c r="E1" s="19" t="inlineStr">
        <is>
          <t>Yoxdur</t>
        </is>
      </c>
      <c r="F1" s="19" t="inlineStr">
        <is>
          <t>Avtomat spec faylı</t>
        </is>
      </c>
      <c r="G1" s="19" t="inlineStr">
        <is>
          <t>RestAssured: AC örtülüb</t>
        </is>
      </c>
      <c r="H1" s="19" t="inlineStr">
        <is>
          <t>RestAssured: AC örtülməyib</t>
        </is>
      </c>
      <c r="I1" s="19" t="inlineStr">
        <is>
          <t>Test case ilə örtülən AC (Test-Cases-UI-API.xlsx)</t>
        </is>
      </c>
      <c r="J1" s="19" t="inlineStr">
        <is>
          <t>Son nəticəsi Passed olan AC</t>
        </is>
      </c>
    </row>
    <row r="2" ht="15" customHeight="1" s="18">
      <c r="A2" s="29" t="inlineStr">
        <is>
          <t>GRAD-101</t>
        </is>
      </c>
      <c r="B2" s="29">
        <f>COUNTIFS('Traceability Matrix'!$B$2:$B$87,"GRAD-101",'Traceability Matrix'!$C$2:$C$87,"AC-*")</f>
        <v/>
      </c>
      <c r="C2" s="29">
        <f>COUNTIFS('Traceability Matrix'!$B$2:$B$87,"GRAD-101",'Traceability Matrix'!$C$2:$C$87,"AC-*",'Traceability Matrix'!$F$2:$F$87,"Tam")+COUNTIFS('Traceability Matrix'!$B$2:$B$87,"GRAD-101",'Traceability Matrix'!$C$2:$C$87,"AC-*",'Traceability Matrix'!$F$2:$F$87,"Tam (çarpaz fayl)")</f>
        <v/>
      </c>
      <c r="D2" s="29">
        <f>COUNTIFS('Traceability Matrix'!$B$2:$B$87,"GRAD-101",'Traceability Matrix'!$C$2:$C$87,"AC-*",'Traceability Matrix'!$F$2:$F$87,"Qismən")+COUNTIFS('Traceability Matrix'!$B$2:$B$87,"GRAD-101",'Traceability Matrix'!$C$2:$C$87,"AC-*",'Traceability Matrix'!$F$2:$F$87,"Qismən (deviation)")</f>
        <v/>
      </c>
      <c r="E2" s="29">
        <f>COUNTIFS('Traceability Matrix'!$B$2:$B$87,"GRAD-101",'Traceability Matrix'!$C$2:$C$87,"AC-*",'Traceability Matrix'!$F$2:$F$87,"YOXDUR")</f>
        <v/>
      </c>
      <c r="F2" s="20" t="inlineStr">
        <is>
          <t>gradBeneficiaryTesting.spec</t>
        </is>
      </c>
      <c r="G2" s="20">
        <f>COUNTIFS('Traceability Matrix'!$B$2:$B$87,"GRAD-101",'Traceability Matrix'!$C$2:$C$87,"AC-*",'Traceability Matrix'!$K$2:$K$87,"Avtomat*")</f>
        <v/>
      </c>
      <c r="H2" s="20">
        <f>COUNTIFS('Traceability Matrix'!$B$2:$B$87,"GRAD-101",'Traceability Matrix'!$C$2:$C$87,"AC-*",'Traceability Matrix'!$K$2:$K$87,"YOXDUR")</f>
        <v/>
      </c>
      <c r="I2" s="20">
        <f>COUNTIFS('Traceability Matrix'!$B$2:$B$87,"GRAD-101",'Traceability Matrix'!$C$2:$C$87,"AC-*",'Traceability Matrix'!$L$2:$L$87,"&lt;&gt;")</f>
        <v/>
      </c>
      <c r="J2" s="20">
        <f>COUNTIFS('Traceability Matrix'!$B$2:$B$87,"GRAD-101",'Traceability Matrix'!$C$2:$C$87,"AC-*",'Traceability Matrix'!$M$2:$M$87,"Passed")</f>
        <v/>
      </c>
    </row>
    <row r="3" ht="15" customHeight="1" s="18">
      <c r="A3" s="29" t="inlineStr">
        <is>
          <t>GRAD-102</t>
        </is>
      </c>
      <c r="B3" s="29">
        <f>COUNTIFS('Traceability Matrix'!$B$2:$B$87,"GRAD-102",'Traceability Matrix'!$C$2:$C$87,"AC-*")</f>
        <v/>
      </c>
      <c r="C3" s="29">
        <f>COUNTIFS('Traceability Matrix'!$B$2:$B$87,"GRAD-102",'Traceability Matrix'!$C$2:$C$87,"AC-*",'Traceability Matrix'!$F$2:$F$87,"Tam")+COUNTIFS('Traceability Matrix'!$B$2:$B$87,"GRAD-102",'Traceability Matrix'!$C$2:$C$87,"AC-*",'Traceability Matrix'!$F$2:$F$87,"Tam (çarpaz fayl)")</f>
        <v/>
      </c>
      <c r="D3" s="29">
        <f>COUNTIFS('Traceability Matrix'!$B$2:$B$87,"GRAD-102",'Traceability Matrix'!$C$2:$C$87,"AC-*",'Traceability Matrix'!$F$2:$F$87,"Qismən")+COUNTIFS('Traceability Matrix'!$B$2:$B$87,"GRAD-102",'Traceability Matrix'!$C$2:$C$87,"AC-*",'Traceability Matrix'!$F$2:$F$87,"Qismən (deviation)")</f>
        <v/>
      </c>
      <c r="E3" s="29">
        <f>COUNTIFS('Traceability Matrix'!$B$2:$B$87,"GRAD-102",'Traceability Matrix'!$C$2:$C$87,"AC-*",'Traceability Matrix'!$F$2:$F$87,"YOXDUR")</f>
        <v/>
      </c>
      <c r="F3" s="20" t="inlineStr">
        <is>
          <t>gradListBeneficiaries.spec</t>
        </is>
      </c>
      <c r="G3" s="20">
        <f>COUNTIFS('Traceability Matrix'!$B$2:$B$87,"GRAD-102",'Traceability Matrix'!$C$2:$C$87,"AC-*",'Traceability Matrix'!$K$2:$K$87,"Avtomat*")</f>
        <v/>
      </c>
      <c r="H3" s="20">
        <f>COUNTIFS('Traceability Matrix'!$B$2:$B$87,"GRAD-102",'Traceability Matrix'!$C$2:$C$87,"AC-*",'Traceability Matrix'!$K$2:$K$87,"YOXDUR")</f>
        <v/>
      </c>
      <c r="I3" s="20">
        <f>COUNTIFS('Traceability Matrix'!$B$2:$B$87,"GRAD-102",'Traceability Matrix'!$C$2:$C$87,"AC-*",'Traceability Matrix'!$L$2:$L$87,"&lt;&gt;")</f>
        <v/>
      </c>
      <c r="J3" s="20">
        <f>COUNTIFS('Traceability Matrix'!$B$2:$B$87,"GRAD-102",'Traceability Matrix'!$C$2:$C$87,"AC-*",'Traceability Matrix'!$M$2:$M$87,"Passed")</f>
        <v/>
      </c>
    </row>
    <row r="4" ht="15" customHeight="1" s="18">
      <c r="A4" s="29" t="inlineStr">
        <is>
          <t>GRAD-103</t>
        </is>
      </c>
      <c r="B4" s="29">
        <f>COUNTIFS('Traceability Matrix'!$B$2:$B$87,"GRAD-103",'Traceability Matrix'!$C$2:$C$87,"AC-*")</f>
        <v/>
      </c>
      <c r="C4" s="29">
        <f>COUNTIFS('Traceability Matrix'!$B$2:$B$87,"GRAD-103",'Traceability Matrix'!$C$2:$C$87,"AC-*",'Traceability Matrix'!$F$2:$F$87,"Tam")+COUNTIFS('Traceability Matrix'!$B$2:$B$87,"GRAD-103",'Traceability Matrix'!$C$2:$C$87,"AC-*",'Traceability Matrix'!$F$2:$F$87,"Tam (çarpaz fayl)")</f>
        <v/>
      </c>
      <c r="D4" s="29">
        <f>COUNTIFS('Traceability Matrix'!$B$2:$B$87,"GRAD-103",'Traceability Matrix'!$C$2:$C$87,"AC-*",'Traceability Matrix'!$F$2:$F$87,"Qismən")+COUNTIFS('Traceability Matrix'!$B$2:$B$87,"GRAD-103",'Traceability Matrix'!$C$2:$C$87,"AC-*",'Traceability Matrix'!$F$2:$F$87,"Qismən (deviation)")</f>
        <v/>
      </c>
      <c r="E4" s="29">
        <f>COUNTIFS('Traceability Matrix'!$B$2:$B$87,"GRAD-103",'Traceability Matrix'!$C$2:$C$87,"AC-*",'Traceability Matrix'!$F$2:$F$87,"YOXDUR")</f>
        <v/>
      </c>
      <c r="F4" s="20" t="inlineStr">
        <is>
          <t>gradDeleteBeneficiary.spec</t>
        </is>
      </c>
      <c r="G4" s="20">
        <f>COUNTIFS('Traceability Matrix'!$B$2:$B$87,"GRAD-103",'Traceability Matrix'!$C$2:$C$87,"AC-*",'Traceability Matrix'!$K$2:$K$87,"Avtomat*")</f>
        <v/>
      </c>
      <c r="H4" s="20">
        <f>COUNTIFS('Traceability Matrix'!$B$2:$B$87,"GRAD-103",'Traceability Matrix'!$C$2:$C$87,"AC-*",'Traceability Matrix'!$K$2:$K$87,"YOXDUR")</f>
        <v/>
      </c>
      <c r="I4" s="20">
        <f>COUNTIFS('Traceability Matrix'!$B$2:$B$87,"GRAD-103",'Traceability Matrix'!$C$2:$C$87,"AC-*",'Traceability Matrix'!$L$2:$L$87,"&lt;&gt;")</f>
        <v/>
      </c>
      <c r="J4" s="20">
        <f>COUNTIFS('Traceability Matrix'!$B$2:$B$87,"GRAD-103",'Traceability Matrix'!$C$2:$C$87,"AC-*",'Traceability Matrix'!$M$2:$M$87,"Passed")</f>
        <v/>
      </c>
    </row>
    <row r="5" ht="15" customHeight="1" s="18">
      <c r="A5" s="29" t="inlineStr">
        <is>
          <t>GRAD-201</t>
        </is>
      </c>
      <c r="B5" s="29">
        <f>COUNTIFS('Traceability Matrix'!$B$2:$B$87,"GRAD-201",'Traceability Matrix'!$C$2:$C$87,"AC-*")</f>
        <v/>
      </c>
      <c r="C5" s="29">
        <f>COUNTIFS('Traceability Matrix'!$B$2:$B$87,"GRAD-201",'Traceability Matrix'!$C$2:$C$87,"AC-*",'Traceability Matrix'!$F$2:$F$87,"Tam")+COUNTIFS('Traceability Matrix'!$B$2:$B$87,"GRAD-201",'Traceability Matrix'!$C$2:$C$87,"AC-*",'Traceability Matrix'!$F$2:$F$87,"Tam (çarpaz fayl)")</f>
        <v/>
      </c>
      <c r="D5" s="29">
        <f>COUNTIFS('Traceability Matrix'!$B$2:$B$87,"GRAD-201",'Traceability Matrix'!$C$2:$C$87,"AC-*",'Traceability Matrix'!$F$2:$F$87,"Qismən")+COUNTIFS('Traceability Matrix'!$B$2:$B$87,"GRAD-201",'Traceability Matrix'!$C$2:$C$87,"AC-*",'Traceability Matrix'!$F$2:$F$87,"Qismən (deviation)")</f>
        <v/>
      </c>
      <c r="E5" s="29">
        <f>COUNTIFS('Traceability Matrix'!$B$2:$B$87,"GRAD-201",'Traceability Matrix'!$C$2:$C$87,"AC-*",'Traceability Matrix'!$F$2:$F$87,"YOXDUR")</f>
        <v/>
      </c>
      <c r="F5" s="20" t="inlineStr">
        <is>
          <t>gradCreateCard.spec</t>
        </is>
      </c>
      <c r="G5" s="20">
        <f>COUNTIFS('Traceability Matrix'!$B$2:$B$87,"GRAD-201",'Traceability Matrix'!$C$2:$C$87,"AC-*",'Traceability Matrix'!$K$2:$K$87,"Avtomat*")</f>
        <v/>
      </c>
      <c r="H5" s="20">
        <f>COUNTIFS('Traceability Matrix'!$B$2:$B$87,"GRAD-201",'Traceability Matrix'!$C$2:$C$87,"AC-*",'Traceability Matrix'!$K$2:$K$87,"YOXDUR")</f>
        <v/>
      </c>
      <c r="I5" s="20">
        <f>COUNTIFS('Traceability Matrix'!$B$2:$B$87,"GRAD-201",'Traceability Matrix'!$C$2:$C$87,"AC-*",'Traceability Matrix'!$L$2:$L$87,"&lt;&gt;")</f>
        <v/>
      </c>
      <c r="J5" s="20">
        <f>COUNTIFS('Traceability Matrix'!$B$2:$B$87,"GRAD-201",'Traceability Matrix'!$C$2:$C$87,"AC-*",'Traceability Matrix'!$M$2:$M$87,"Passed")</f>
        <v/>
      </c>
    </row>
    <row r="6" ht="15" customHeight="1" s="18">
      <c r="A6" s="29" t="inlineStr">
        <is>
          <t>GRAD-202</t>
        </is>
      </c>
      <c r="B6" s="29">
        <f>COUNTIFS('Traceability Matrix'!$B$2:$B$87,"GRAD-202",'Traceability Matrix'!$C$2:$C$87,"AC-*")</f>
        <v/>
      </c>
      <c r="C6" s="29">
        <f>COUNTIFS('Traceability Matrix'!$B$2:$B$87,"GRAD-202",'Traceability Matrix'!$C$2:$C$87,"AC-*",'Traceability Matrix'!$F$2:$F$87,"Tam")+COUNTIFS('Traceability Matrix'!$B$2:$B$87,"GRAD-202",'Traceability Matrix'!$C$2:$C$87,"AC-*",'Traceability Matrix'!$F$2:$F$87,"Tam (çarpaz fayl)")</f>
        <v/>
      </c>
      <c r="D6" s="29">
        <f>COUNTIFS('Traceability Matrix'!$B$2:$B$87,"GRAD-202",'Traceability Matrix'!$C$2:$C$87,"AC-*",'Traceability Matrix'!$F$2:$F$87,"Qismən")+COUNTIFS('Traceability Matrix'!$B$2:$B$87,"GRAD-202",'Traceability Matrix'!$C$2:$C$87,"AC-*",'Traceability Matrix'!$F$2:$F$87,"Qismən (deviation)")</f>
        <v/>
      </c>
      <c r="E6" s="29">
        <f>COUNTIFS('Traceability Matrix'!$B$2:$B$87,"GRAD-202",'Traceability Matrix'!$C$2:$C$87,"AC-*",'Traceability Matrix'!$F$2:$F$87,"YOXDUR")</f>
        <v/>
      </c>
      <c r="F6" s="20" t="inlineStr">
        <is>
          <t>gradGetCard.spec</t>
        </is>
      </c>
      <c r="G6" s="20">
        <f>COUNTIFS('Traceability Matrix'!$B$2:$B$87,"GRAD-202",'Traceability Matrix'!$C$2:$C$87,"AC-*",'Traceability Matrix'!$K$2:$K$87,"Avtomat*")</f>
        <v/>
      </c>
      <c r="H6" s="20">
        <f>COUNTIFS('Traceability Matrix'!$B$2:$B$87,"GRAD-202",'Traceability Matrix'!$C$2:$C$87,"AC-*",'Traceability Matrix'!$K$2:$K$87,"YOXDUR")</f>
        <v/>
      </c>
      <c r="I6" s="20">
        <f>COUNTIFS('Traceability Matrix'!$B$2:$B$87,"GRAD-202",'Traceability Matrix'!$C$2:$C$87,"AC-*",'Traceability Matrix'!$L$2:$L$87,"&lt;&gt;")</f>
        <v/>
      </c>
      <c r="J6" s="20">
        <f>COUNTIFS('Traceability Matrix'!$B$2:$B$87,"GRAD-202",'Traceability Matrix'!$C$2:$C$87,"AC-*",'Traceability Matrix'!$M$2:$M$87,"Passed")</f>
        <v/>
      </c>
    </row>
    <row r="7" ht="15" customHeight="1" s="18">
      <c r="A7" s="29" t="inlineStr">
        <is>
          <t>GRAD-203</t>
        </is>
      </c>
      <c r="B7" s="29">
        <f>COUNTIFS('Traceability Matrix'!$B$2:$B$87,"GRAD-203",'Traceability Matrix'!$C$2:$C$87,"AC-*")</f>
        <v/>
      </c>
      <c r="C7" s="29">
        <f>COUNTIFS('Traceability Matrix'!$B$2:$B$87,"GRAD-203",'Traceability Matrix'!$C$2:$C$87,"AC-*",'Traceability Matrix'!$F$2:$F$87,"Tam")+COUNTIFS('Traceability Matrix'!$B$2:$B$87,"GRAD-203",'Traceability Matrix'!$C$2:$C$87,"AC-*",'Traceability Matrix'!$F$2:$F$87,"Tam (çarpaz fayl)")</f>
        <v/>
      </c>
      <c r="D7" s="29">
        <f>COUNTIFS('Traceability Matrix'!$B$2:$B$87,"GRAD-203",'Traceability Matrix'!$C$2:$C$87,"AC-*",'Traceability Matrix'!$F$2:$F$87,"Qismən")+COUNTIFS('Traceability Matrix'!$B$2:$B$87,"GRAD-203",'Traceability Matrix'!$C$2:$C$87,"AC-*",'Traceability Matrix'!$F$2:$F$87,"Qismən (deviation)")</f>
        <v/>
      </c>
      <c r="E7" s="29">
        <f>COUNTIFS('Traceability Matrix'!$B$2:$B$87,"GRAD-203",'Traceability Matrix'!$C$2:$C$87,"AC-*",'Traceability Matrix'!$F$2:$F$87,"YOXDUR")</f>
        <v/>
      </c>
      <c r="F7" s="20" t="inlineStr">
        <is>
          <t>gradBlockCard.spec</t>
        </is>
      </c>
      <c r="G7" s="20">
        <f>COUNTIFS('Traceability Matrix'!$B$2:$B$87,"GRAD-203",'Traceability Matrix'!$C$2:$C$87,"AC-*",'Traceability Matrix'!$K$2:$K$87,"Avtomat*")</f>
        <v/>
      </c>
      <c r="H7" s="20">
        <f>COUNTIFS('Traceability Matrix'!$B$2:$B$87,"GRAD-203",'Traceability Matrix'!$C$2:$C$87,"AC-*",'Traceability Matrix'!$K$2:$K$87,"YOXDUR")</f>
        <v/>
      </c>
      <c r="I7" s="20">
        <f>COUNTIFS('Traceability Matrix'!$B$2:$B$87,"GRAD-203",'Traceability Matrix'!$C$2:$C$87,"AC-*",'Traceability Matrix'!$L$2:$L$87,"&lt;&gt;")</f>
        <v/>
      </c>
      <c r="J7" s="20">
        <f>COUNTIFS('Traceability Matrix'!$B$2:$B$87,"GRAD-203",'Traceability Matrix'!$C$2:$C$87,"AC-*",'Traceability Matrix'!$M$2:$M$87,"Passed")</f>
        <v/>
      </c>
    </row>
    <row r="8" ht="15" customHeight="1" s="18">
      <c r="A8" s="29" t="inlineStr">
        <is>
          <t>GRAD-204</t>
        </is>
      </c>
      <c r="B8" s="29">
        <f>COUNTIFS('Traceability Matrix'!$B$2:$B$87,"GRAD-204",'Traceability Matrix'!$C$2:$C$87,"AC-*")</f>
        <v/>
      </c>
      <c r="C8" s="29">
        <f>COUNTIFS('Traceability Matrix'!$B$2:$B$87,"GRAD-204",'Traceability Matrix'!$C$2:$C$87,"AC-*",'Traceability Matrix'!$F$2:$F$87,"Tam")+COUNTIFS('Traceability Matrix'!$B$2:$B$87,"GRAD-204",'Traceability Matrix'!$C$2:$C$87,"AC-*",'Traceability Matrix'!$F$2:$F$87,"Tam (çarpaz fayl)")</f>
        <v/>
      </c>
      <c r="D8" s="29">
        <f>COUNTIFS('Traceability Matrix'!$B$2:$B$87,"GRAD-204",'Traceability Matrix'!$C$2:$C$87,"AC-*",'Traceability Matrix'!$F$2:$F$87,"Qismən")+COUNTIFS('Traceability Matrix'!$B$2:$B$87,"GRAD-204",'Traceability Matrix'!$C$2:$C$87,"AC-*",'Traceability Matrix'!$F$2:$F$87,"Qismən (deviation)")</f>
        <v/>
      </c>
      <c r="E8" s="29">
        <f>COUNTIFS('Traceability Matrix'!$B$2:$B$87,"GRAD-204",'Traceability Matrix'!$C$2:$C$87,"AC-*",'Traceability Matrix'!$F$2:$F$87,"YOXDUR")</f>
        <v/>
      </c>
      <c r="F8" s="20" t="inlineStr">
        <is>
          <t>gradUnblockCard.spec</t>
        </is>
      </c>
      <c r="G8" s="20">
        <f>COUNTIFS('Traceability Matrix'!$B$2:$B$87,"GRAD-204",'Traceability Matrix'!$C$2:$C$87,"AC-*",'Traceability Matrix'!$K$2:$K$87,"Avtomat*")</f>
        <v/>
      </c>
      <c r="H8" s="20">
        <f>COUNTIFS('Traceability Matrix'!$B$2:$B$87,"GRAD-204",'Traceability Matrix'!$C$2:$C$87,"AC-*",'Traceability Matrix'!$K$2:$K$87,"YOXDUR")</f>
        <v/>
      </c>
      <c r="I8" s="20">
        <f>COUNTIFS('Traceability Matrix'!$B$2:$B$87,"GRAD-204",'Traceability Matrix'!$C$2:$C$87,"AC-*",'Traceability Matrix'!$L$2:$L$87,"&lt;&gt;")</f>
        <v/>
      </c>
      <c r="J8" s="20">
        <f>COUNTIFS('Traceability Matrix'!$B$2:$B$87,"GRAD-204",'Traceability Matrix'!$C$2:$C$87,"AC-*",'Traceability Matrix'!$M$2:$M$87,"Passed")</f>
        <v/>
      </c>
    </row>
    <row r="9" ht="15" customHeight="1" s="18">
      <c r="A9" s="29" t="inlineStr">
        <is>
          <t>GRAD-301</t>
        </is>
      </c>
      <c r="B9" s="29">
        <f>COUNTIFS('Traceability Matrix'!$B$2:$B$87,"GRAD-301",'Traceability Matrix'!$C$2:$C$87,"AC-*")</f>
        <v/>
      </c>
      <c r="C9" s="29">
        <f>COUNTIFS('Traceability Matrix'!$B$2:$B$87,"GRAD-301",'Traceability Matrix'!$C$2:$C$87,"AC-*",'Traceability Matrix'!$F$2:$F$87,"Tam")+COUNTIFS('Traceability Matrix'!$B$2:$B$87,"GRAD-301",'Traceability Matrix'!$C$2:$C$87,"AC-*",'Traceability Matrix'!$F$2:$F$87,"Tam (çarpaz fayl)")</f>
        <v/>
      </c>
      <c r="D9" s="29">
        <f>COUNTIFS('Traceability Matrix'!$B$2:$B$87,"GRAD-301",'Traceability Matrix'!$C$2:$C$87,"AC-*",'Traceability Matrix'!$F$2:$F$87,"Qismən")+COUNTIFS('Traceability Matrix'!$B$2:$B$87,"GRAD-301",'Traceability Matrix'!$C$2:$C$87,"AC-*",'Traceability Matrix'!$F$2:$F$87,"Qismən (deviation)")</f>
        <v/>
      </c>
      <c r="E9" s="29">
        <f>COUNTIFS('Traceability Matrix'!$B$2:$B$87,"GRAD-301",'Traceability Matrix'!$C$2:$C$87,"AC-*",'Traceability Matrix'!$F$2:$F$87,"YOXDUR")</f>
        <v/>
      </c>
      <c r="F9" s="20" t="inlineStr">
        <is>
          <t>gradBillersList.spec</t>
        </is>
      </c>
      <c r="G9" s="20">
        <f>COUNTIFS('Traceability Matrix'!$B$2:$B$87,"GRAD-301",'Traceability Matrix'!$C$2:$C$87,"AC-*",'Traceability Matrix'!$K$2:$K$87,"Avtomat*")</f>
        <v/>
      </c>
      <c r="H9" s="20">
        <f>COUNTIFS('Traceability Matrix'!$B$2:$B$87,"GRAD-301",'Traceability Matrix'!$C$2:$C$87,"AC-*",'Traceability Matrix'!$K$2:$K$87,"YOXDUR")</f>
        <v/>
      </c>
      <c r="I9" s="20">
        <f>COUNTIFS('Traceability Matrix'!$B$2:$B$87,"GRAD-301",'Traceability Matrix'!$C$2:$C$87,"AC-*",'Traceability Matrix'!$L$2:$L$87,"&lt;&gt;")</f>
        <v/>
      </c>
      <c r="J9" s="20">
        <f>COUNTIFS('Traceability Matrix'!$B$2:$B$87,"GRAD-301",'Traceability Matrix'!$C$2:$C$87,"AC-*",'Traceability Matrix'!$M$2:$M$87,"Passed")</f>
        <v/>
      </c>
    </row>
    <row r="10" ht="15" customHeight="1" s="18">
      <c r="A10" s="29" t="inlineStr">
        <is>
          <t>GRAD-302</t>
        </is>
      </c>
      <c r="B10" s="29">
        <f>COUNTIFS('Traceability Matrix'!$B$2:$B$87,"GRAD-302",'Traceability Matrix'!$C$2:$C$87,"AC-*")</f>
        <v/>
      </c>
      <c r="C10" s="29">
        <f>COUNTIFS('Traceability Matrix'!$B$2:$B$87,"GRAD-302",'Traceability Matrix'!$C$2:$C$87,"AC-*",'Traceability Matrix'!$F$2:$F$87,"Tam")+COUNTIFS('Traceability Matrix'!$B$2:$B$87,"GRAD-302",'Traceability Matrix'!$C$2:$C$87,"AC-*",'Traceability Matrix'!$F$2:$F$87,"Tam (çarpaz fayl)")</f>
        <v/>
      </c>
      <c r="D10" s="29">
        <f>COUNTIFS('Traceability Matrix'!$B$2:$B$87,"GRAD-302",'Traceability Matrix'!$C$2:$C$87,"AC-*",'Traceability Matrix'!$F$2:$F$87,"Qismən")+COUNTIFS('Traceability Matrix'!$B$2:$B$87,"GRAD-302",'Traceability Matrix'!$C$2:$C$87,"AC-*",'Traceability Matrix'!$F$2:$F$87,"Qismən (deviation)")</f>
        <v/>
      </c>
      <c r="E10" s="29">
        <f>COUNTIFS('Traceability Matrix'!$B$2:$B$87,"GRAD-302",'Traceability Matrix'!$C$2:$C$87,"AC-*",'Traceability Matrix'!$F$2:$F$87,"YOXDUR")</f>
        <v/>
      </c>
      <c r="F10" s="20" t="inlineStr">
        <is>
          <t>gradBillPayments.spec</t>
        </is>
      </c>
      <c r="G10" s="20">
        <f>COUNTIFS('Traceability Matrix'!$B$2:$B$87,"GRAD-302",'Traceability Matrix'!$C$2:$C$87,"AC-*",'Traceability Matrix'!$K$2:$K$87,"Avtomat*")</f>
        <v/>
      </c>
      <c r="H10" s="20">
        <f>COUNTIFS('Traceability Matrix'!$B$2:$B$87,"GRAD-302",'Traceability Matrix'!$C$2:$C$87,"AC-*",'Traceability Matrix'!$K$2:$K$87,"YOXDUR")</f>
        <v/>
      </c>
      <c r="I10" s="20">
        <f>COUNTIFS('Traceability Matrix'!$B$2:$B$87,"GRAD-302",'Traceability Matrix'!$C$2:$C$87,"AC-*",'Traceability Matrix'!$L$2:$L$87,"&lt;&gt;")</f>
        <v/>
      </c>
      <c r="J10" s="20">
        <f>COUNTIFS('Traceability Matrix'!$B$2:$B$87,"GRAD-302",'Traceability Matrix'!$C$2:$C$87,"AC-*",'Traceability Matrix'!$M$2:$M$87,"Passed")</f>
        <v/>
      </c>
    </row>
    <row r="11" ht="15" customHeight="1" s="18">
      <c r="A11" s="29" t="inlineStr">
        <is>
          <t>GRAD-303</t>
        </is>
      </c>
      <c r="B11" s="29">
        <f>COUNTIFS('Traceability Matrix'!$B$2:$B$87,"GRAD-303",'Traceability Matrix'!$C$2:$C$87,"AC-*")</f>
        <v/>
      </c>
      <c r="C11" s="29">
        <f>COUNTIFS('Traceability Matrix'!$B$2:$B$87,"GRAD-303",'Traceability Matrix'!$C$2:$C$87,"AC-*",'Traceability Matrix'!$F$2:$F$87,"Tam")+COUNTIFS('Traceability Matrix'!$B$2:$B$87,"GRAD-303",'Traceability Matrix'!$C$2:$C$87,"AC-*",'Traceability Matrix'!$F$2:$F$87,"Tam (çarpaz fayl)")</f>
        <v/>
      </c>
      <c r="D11" s="29">
        <f>COUNTIFS('Traceability Matrix'!$B$2:$B$87,"GRAD-303",'Traceability Matrix'!$C$2:$C$87,"AC-*",'Traceability Matrix'!$F$2:$F$87,"Qismən")+COUNTIFS('Traceability Matrix'!$B$2:$B$87,"GRAD-303",'Traceability Matrix'!$C$2:$C$87,"AC-*",'Traceability Matrix'!$F$2:$F$87,"Qismən (deviation)")</f>
        <v/>
      </c>
      <c r="E11" s="29">
        <f>COUNTIFS('Traceability Matrix'!$B$2:$B$87,"GRAD-303",'Traceability Matrix'!$C$2:$C$87,"AC-*",'Traceability Matrix'!$F$2:$F$87,"YOXDUR")</f>
        <v/>
      </c>
      <c r="F11" s="20" t="inlineStr">
        <is>
          <t>gradPaymentHistory.spec</t>
        </is>
      </c>
      <c r="G11" s="20">
        <f>COUNTIFS('Traceability Matrix'!$B$2:$B$87,"GRAD-303",'Traceability Matrix'!$C$2:$C$87,"AC-*",'Traceability Matrix'!$K$2:$K$87,"Avtomat*")</f>
        <v/>
      </c>
      <c r="H11" s="20">
        <f>COUNTIFS('Traceability Matrix'!$B$2:$B$87,"GRAD-303",'Traceability Matrix'!$C$2:$C$87,"AC-*",'Traceability Matrix'!$K$2:$K$87,"YOXDUR")</f>
        <v/>
      </c>
      <c r="I11" s="20">
        <f>COUNTIFS('Traceability Matrix'!$B$2:$B$87,"GRAD-303",'Traceability Matrix'!$C$2:$C$87,"AC-*",'Traceability Matrix'!$L$2:$L$87,"&lt;&gt;")</f>
        <v/>
      </c>
      <c r="J11" s="20">
        <f>COUNTIFS('Traceability Matrix'!$B$2:$B$87,"GRAD-303",'Traceability Matrix'!$C$2:$C$87,"AC-*",'Traceability Matrix'!$M$2:$M$87,"Passed")</f>
        <v/>
      </c>
    </row>
    <row r="12" ht="15" customHeight="1" s="18">
      <c r="A12" s="30" t="inlineStr">
        <is>
          <t>CƏMİ</t>
        </is>
      </c>
      <c r="B12" s="30">
        <f>SUM(B2:B11)</f>
        <v/>
      </c>
      <c r="C12" s="30">
        <f>SUM(C2:C11)</f>
        <v/>
      </c>
      <c r="D12" s="30">
        <f>SUM(D2:D11)</f>
        <v/>
      </c>
      <c r="E12" s="30">
        <f>SUM(E2:E11)</f>
        <v/>
      </c>
      <c r="F12" s="30" t="n"/>
      <c r="G12" s="31">
        <f>SUM(G2:G11)</f>
        <v/>
      </c>
      <c r="H12" s="31">
        <f>SUM(H2:H11)</f>
        <v/>
      </c>
      <c r="I12" s="31">
        <f>SUM(I2:I11)</f>
        <v/>
      </c>
      <c r="J12" s="31">
        <f>SUM(J2:J11)</f>
        <v/>
      </c>
    </row>
    <row r="14" ht="21.75" customHeight="1" s="18">
      <c r="A14" s="32" t="inlineStr">
        <is>
          <t>Qeyd: 'Cəmi AC' yalnız nömrələnmiş AC-ləri sayır (Əlavə/Ümumi qaydalar sətirləri xaric). Mənbə: GRAD-AC-Reference.md (verbatim) + mövcud Gauge .spec faylları.</t>
        </is>
      </c>
    </row>
    <row r="15" ht="15" customHeight="1" s="18">
      <c r="A15" s="17" t="inlineStr">
        <is>
          <t>Qeyd (2026-10-07): 'RestAssured' sütunları kodun @Feature/@Story annotasiyalarından çıxarılıb. '2026-10-07 passed' — həmin testin 2026-10-07 icrasında (129/129) keçdiyini göstərir; POJO/JSON Schema refaktorundan sonrakı yenidən icra gözlənilir.</t>
        </is>
      </c>
    </row>
    <row r="16" ht="60" customHeight="1" s="18">
      <c r="A16" s="17" t="inlineStr">
        <is>
          <t>Qeyd (09.10.2026): test case-lərin tam siyahısı, addımları və icra nəticələri yalnız docs/Test-Cases-UI-API.xlsx faylındadır (UI + API). Bu faylın əvvəlki "Test Case-lər (API)" və "Test Case-lər (UI - ASOS)" vərəqləri köhnə ID-lərlə (TC-API-101-01 və s.) dublikat idi və silindi; matrisdəki L sütunu hər AC-ni yeni test case ID-lərinə bağlayır, M sütunu son nəticəni, N sütunu bug-ı göstərir.</t>
        </is>
      </c>
    </row>
  </sheetData>
  <mergeCells count="2">
    <mergeCell ref="A14:F14"/>
    <mergeCell ref="A16:H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2026-10-06T17:00:23Z</dcterms:created>
  <dcterms:modified xmlns:dcterms="http://purl.org/dc/terms/" xmlns:xsi="http://www.w3.org/2001/XMLSchema-instance" xsi:type="dcterms:W3CDTF">2026-10-12T08:41:02Z</dcterms:modified>
  <cp:revision>0</cp:revision>
</cp:coreProperties>
</file>