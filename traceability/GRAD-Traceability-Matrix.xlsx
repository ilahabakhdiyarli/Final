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raceability Matrix" sheetId="1" state="visible" r:id="rId3"/>
    <sheet name="Xülasə" sheetId="2" state="visible" r:id="rId4"/>
    <sheet name="Test Case-lər (API)" sheetId="3" state="visible" r:id="rId5"/>
    <sheet name="Test Case-lər (UI - ASOS)" sheetId="4" state="visible" r:id="rId6"/>
  </sheets>
  <definedNames>
    <definedName function="false" hidden="true" localSheetId="0" name="_xlnm._FilterDatabase" vbProcedure="false">'Traceability Matrix'!$A$1:$I$87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<sst xmlns="http://schemas.openxmlformats.org/spreadsheetml/2006/main" count="3010" uniqueCount="1123">
  <si>
    <t xml:space="preserve">Epic</t>
  </si>
  <si>
    <t xml:space="preserve">Ticket</t>
  </si>
  <si>
    <t xml:space="preserve">AC ID</t>
  </si>
  <si>
    <t xml:space="preserve">AC təsviri (qısa, GRAD-AC-Reference.md-dən)</t>
  </si>
  <si>
    <t xml:space="preserve">Prioritet (TestPlan/AC-Reference)</t>
  </si>
  <si>
    <t xml:space="preserve">Avtomatlaşdırma statusu</t>
  </si>
  <si>
    <t xml:space="preserve">Gauge spec faylı</t>
  </si>
  <si>
    <t xml:space="preserve">Spec ssenari(ləri)</t>
  </si>
  <si>
    <t xml:space="preserve">Qeyd / Gap izahı</t>
  </si>
  <si>
    <t xml:space="preserve">EPIC-1: Saxlanmış alıcılar</t>
  </si>
  <si>
    <t xml:space="preserve">GRAD-101</t>
  </si>
  <si>
    <t xml:space="preserve">AC-1</t>
  </si>
  <si>
    <t xml:space="preserve">Etibarlı sorğu → 201; id/iban/ibanMasked/currency/nickname/createdAt + Location header</t>
  </si>
  <si>
    <t xml:space="preserve">High (5 SP)</t>
  </si>
  <si>
    <t xml:space="preserve">Tam</t>
  </si>
  <si>
    <t xml:space="preserve">gradBeneficiaryTesting.spec</t>
  </si>
  <si>
    <t xml:space="preserve">#1</t>
  </si>
  <si>
    <t xml:space="preserve">Bütün sahələr və Location header yoxlanılır.</t>
  </si>
  <si>
    <t xml:space="preserve">AC-2</t>
  </si>
  <si>
    <t xml:space="preserve">IBAN normallaşdırma (boşluq+kiçik hərf → təmiz+böyük hərf)</t>
  </si>
  <si>
    <t xml:space="preserve">#2</t>
  </si>
  <si>
    <t xml:space="preserve">AC-3</t>
  </si>
  <si>
    <t xml:space="preserve">nickname göndərilmədikdə null qaytarılır</t>
  </si>
  <si>
    <t xml:space="preserve">#3</t>
  </si>
  <si>
    <t xml:space="preserve">AC-4</t>
  </si>
  <si>
    <t xml:space="preserve">Bir neçə sahə eyni anda səhv → 400 VALIDATION_ERROR, details[]</t>
  </si>
  <si>
    <t xml:space="preserve">#4</t>
  </si>
  <si>
    <t xml:space="preserve">details ölçüsü 2 təsdiqlənir.</t>
  </si>
  <si>
    <t xml:space="preserve">AC-5</t>
  </si>
  <si>
    <t xml:space="preserve">fullName uzunluq sərhədi: 1/51 rədd, 2/50 qəbul</t>
  </si>
  <si>
    <t xml:space="preserve">#5,#6,#7,#8</t>
  </si>
  <si>
    <t xml:space="preserve">4 sərhəd dəyəri də ayrıca test olunur.</t>
  </si>
  <si>
    <t xml:space="preserve">AC-6</t>
  </si>
  <si>
    <t xml:space="preserve">fullName format: hərflə başlamır / rəqəm var → 400</t>
  </si>
  <si>
    <t xml:space="preserve">#9,#10</t>
  </si>
  <si>
    <t xml:space="preserve">AC-7</t>
  </si>
  <si>
    <t xml:space="preserve">Eyni IBAN təkrar → 409 BENEFICIARY_EXISTS</t>
  </si>
  <si>
    <t xml:space="preserve">#11</t>
  </si>
  <si>
    <t xml:space="preserve">AC-8</t>
  </si>
  <si>
    <t xml:space="preserve">nickname unikallığı (case-insensitive) → 409 NICKNAME_TAKEN</t>
  </si>
  <si>
    <t xml:space="preserve">#12</t>
  </si>
  <si>
    <t xml:space="preserve">AC-9</t>
  </si>
  <si>
    <t xml:space="preserve">Öz hesabının IBAN-ı → 422 OWN_ACCOUNT</t>
  </si>
  <si>
    <t xml:space="preserve">#13</t>
  </si>
  <si>
    <t xml:space="preserve">AC-10</t>
  </si>
  <si>
    <t xml:space="preserve">11-ci alıcı → 422 LIMIT_REACHED, limit:10</t>
  </si>
  <si>
    <t xml:space="preserve">#14</t>
  </si>
  <si>
    <t xml:space="preserve">Əlavə</t>
  </si>
  <si>
    <t xml:space="preserve">Token yox/saxta → 401; JSON deyil → 400 INVALID_JSON; SQLi/XSS; IBAN 27/29 simvol sərhədi; AZ hərf/defis/apostrof qəbulu</t>
  </si>
  <si>
    <t xml:space="preserve">Tam (AC-dən əlavə)</t>
  </si>
  <si>
    <t xml:space="preserve">#15-#22</t>
  </si>
  <si>
    <t xml:space="preserve">Bu ssenarilər konkret nömrələnmiş AC-yə bağlı deyil, lakin Ümumi texniki qaydaları və əlavə BVA/security örtür.</t>
  </si>
  <si>
    <t xml:space="preserve">GRAD-102</t>
  </si>
  <si>
    <t xml:space="preserve">Parametrsiz → 200; total=items.length; ən yeni birinci</t>
  </si>
  <si>
    <t xml:space="preserve">Medium (3 SP)</t>
  </si>
  <si>
    <t xml:space="preserve">gradListBeneficiaries.spec</t>
  </si>
  <si>
    <t xml:space="preserve">'Parametrsiz siyahı - defolt sıralama yeni-ucdan'</t>
  </si>
  <si>
    <t xml:space="preserve">sort=fullName&amp;order=asc → əlifba sırası (AZ əlifbası)</t>
  </si>
  <si>
    <t xml:space="preserve">'Adla sıralama - əlifba sırası ilə (asc)'</t>
  </si>
  <si>
    <t xml:space="preserve">currency=USD → yalnız USD alıcılar</t>
  </si>
  <si>
    <t xml:space="preserve">Qismən</t>
  </si>
  <si>
    <t xml:space="preserve">'Valyuta filtri - yalnız USD alıcılar'</t>
  </si>
  <si>
    <t xml:space="preserve">GAP: Bu ssenari 2 alıcı yaradır, lakin currency=USD ilə GET sorğusunu heç vaxt göndərmir və heç bir assertion etmir (spec faylı, sətir 69-101) — AC-3 həqiqətən test edilmir. Kombinə edilmiş filtr testi (Əlavə sətri) currency parametrini istifadə edir, amma təkbaşına AC-3-ü əhatə etmir.</t>
  </si>
  <si>
    <t xml:space="preserve">q=NİGAR / q=NIGAR (nöqtəsiz I) → hər iki halda tapılır</t>
  </si>
  <si>
    <t xml:space="preserve">'Case-folding axtarış - İ/I herf problemi'</t>
  </si>
  <si>
    <t xml:space="preserve">q ləqəbin bir hissəsidir → ləqəbə görə də tapılır</t>
  </si>
  <si>
    <t xml:space="preserve">'Ləqəbin bir hissəsi ile axtarış'</t>
  </si>
  <si>
    <t xml:space="preserve">q=a (1 simvol) → 400 VALIDATION_ERROR, field:q</t>
  </si>
  <si>
    <t xml:space="preserve">'q parametri minimum uzunluqdan qısadır'</t>
  </si>
  <si>
    <t xml:space="preserve">Heç nə tapılmır → 200, total:0, items:[]</t>
  </si>
  <si>
    <t xml:space="preserve">'Mövcud olmayan adla axtarış - heç ne tapılmır'</t>
  </si>
  <si>
    <t xml:space="preserve">Token yoxdur → 401; etibarsız sort dəyəri → 400; SQLi (q) → 200-400 aralığı; kombinə edilmiş filtrlər (q+currency+sort+order)</t>
  </si>
  <si>
    <t xml:space="preserve">'Token olmadan GET', 'Etibarsız sort dəyeri', 'SQL-injection...', 'Kombinə edilmiş filtrlər...'</t>
  </si>
  <si>
    <t xml:space="preserve">Kombinə edilmiş filtr testi AC-2/3/4-ü birlikdə əlavə təsdiqləyir.</t>
  </si>
  <si>
    <t xml:space="preserve">GRAD-103</t>
  </si>
  <si>
    <t xml:space="preserve">Mövcud alıcı silinir → 204, body boşdur</t>
  </si>
  <si>
    <t xml:space="preserve">Medium (2 SP)</t>
  </si>
  <si>
    <t xml:space="preserve">gradDeleteBeneficiary.spec</t>
  </si>
  <si>
    <t xml:space="preserve">'Movcud alicini silmek'</t>
  </si>
  <si>
    <t xml:space="preserve">Silinmiş alıcı siyahıda yoxdur, total 1 azalıb</t>
  </si>
  <si>
    <t xml:space="preserve">'Silinmiş alıcı siyahıda görünmür'</t>
  </si>
  <si>
    <t xml:space="preserve">Eyni id ikinci dəfə silinir → 404 NOT_FOUND</t>
  </si>
  <si>
    <t xml:space="preserve">'Eyni id ikinci defe silinir'</t>
  </si>
  <si>
    <t xml:space="preserve">user2 user1-in alıcı id-si ilə silməyə çalışır → 404 (403 yox) (IDOR)</t>
  </si>
  <si>
    <t xml:space="preserve">'Başqa istifadəçinin alıcısını silmək (IDOR)'</t>
  </si>
  <si>
    <t xml:space="preserve">Token olmadan DELETE → 401; mövcud olmayan id → 404</t>
  </si>
  <si>
    <t xml:space="preserve">'Token olmadan DELETE sorğusu', 'Movcud olmayan id ile DELETE'</t>
  </si>
  <si>
    <t xml:space="preserve">EPIC-2: Virtual kartlar</t>
  </si>
  <si>
    <t xml:space="preserve">GRAD-201</t>
  </si>
  <si>
    <t xml:space="preserve">Etibarlı sorğu → 201; status ACTIVE; availableBalance=initialAmount; limitlər 500/300; spentToday 0</t>
  </si>
  <si>
    <t xml:space="preserve">gradCreateCard.spec</t>
  </si>
  <si>
    <t xml:space="preserve">'Etibarlı kart buraxılışı'</t>
  </si>
  <si>
    <t xml:space="preserve">maskedPan '4169 73** **** NNNN' formatı; expiry MM/YY — bu gündən 3 il sonra</t>
  </si>
  <si>
    <t xml:space="preserve">'maskedPan/expiry formatı'</t>
  </si>
  <si>
    <t xml:space="preserve">Yalnız regex formatı (MM/YY) yoxlanılır; expiry-nin DƏQIQ 'bu gündən 3 il sonra' olduğu heç bir assertion-da hesablanıb müqayisə edilmir.</t>
  </si>
  <si>
    <t xml:space="preserve">initialAmount 0.99/1000.01 rədd; 1.00/1000.00 qəbul</t>
  </si>
  <si>
    <t xml:space="preserve">'initialAmount sərhədi (BVA)'</t>
  </si>
  <si>
    <t xml:space="preserve">initialAmount mətn ("50") və ya 10.555 → 400</t>
  </si>
  <si>
    <t xml:space="preserve">'initialAmount format xətaları'</t>
  </si>
  <si>
    <t xml:space="preserve">user1 acc_003 (özünə aid olmayan hesab) ilə kart açır → 403 FORBIDDEN</t>
  </si>
  <si>
    <t xml:space="preserve">'Başqasının hesabı ilə kart açmaq'</t>
  </si>
  <si>
    <t xml:space="preserve">user2 891 yükləmək istəyir (balans 890.50) → 422 INSUFFICIENT_FUNDS</t>
  </si>
  <si>
    <t xml:space="preserve">YOXDUR</t>
  </si>
  <si>
    <t xml:space="preserve">—</t>
  </si>
  <si>
    <t xml:space="preserve">gradCreateCard.spec-də bu ssenari YOXDUR. Heç bir fayl bu AC-ni avtomatlaşdırmır. GAP.</t>
  </si>
  <si>
    <t xml:space="preserve">3 ACTIVE/FROZEN kart var, 4-cü açılır → 422 CARD_LIMIT_REACHED</t>
  </si>
  <si>
    <t xml:space="preserve">'Kart limiti (3) aşılır'</t>
  </si>
  <si>
    <t xml:space="preserve">Kartlardan biri BLOCKED edilib, yeni kart açılır → 201 (BLOCKED limitə sayılmır)</t>
  </si>
  <si>
    <t xml:space="preserve">Heç bir spec faylında test olunmur. GAP.</t>
  </si>
  <si>
    <t xml:space="preserve">Mövcud olmayan accountId → 404; token yox/saxta → 401; XSS label (qəbul, sanitize olunmur); label yoxdursa null</t>
  </si>
  <si>
    <t xml:space="preserve">'Mövcud olmayan accountId', 'Token yoxdur', 'Saxta token', 'XSS payload - label', 'label göndərilmədikdə null'</t>
  </si>
  <si>
    <t xml:space="preserve">XSS testi label-in sanitize olunmadığını (security tapıntısı deyil, davranış qeydi) göstərir.</t>
  </si>
  <si>
    <t xml:space="preserve">GRAD-202</t>
  </si>
  <si>
    <t xml:space="preserve">Yeni buraxılmış kart → GET nəticəsi POST cavabı ilə eynidir</t>
  </si>
  <si>
    <t xml:space="preserve">gradGetCard.spec</t>
  </si>
  <si>
    <t xml:space="preserve">'#46 Yeni buraxılmış kartın məlumatı'</t>
  </si>
  <si>
    <t xml:space="preserve">50.50 AZN ödənişdən sonra availableBalance azalıb, spentToday artıb</t>
  </si>
  <si>
    <t xml:space="preserve">'#47 Ödənişdən sonra balansın düzgün əks olunması'</t>
  </si>
  <si>
    <t xml:space="preserve">Yalnız availableBalance (49.5) yoxlanılır; spentToday sahəsi HEÇ BİR testdə assert edilmir (bax GRAD-302 qeydi də). GAP.</t>
  </si>
  <si>
    <t xml:space="preserve">Başqa istifadəçinin kart id-si → 404 NOT_FOUND (IDOR)</t>
  </si>
  <si>
    <t xml:space="preserve">'#48 Başqa istifadəçinin kartına GET cəhdi (IDOR)'</t>
  </si>
  <si>
    <t xml:space="preserve">Token yox → 401; mövcud olmayan kart id → 404</t>
  </si>
  <si>
    <t xml:space="preserve">'#49, #50'</t>
  </si>
  <si>
    <t xml:space="preserve">GRAD-203</t>
  </si>
  <si>
    <t xml:space="preserve">ACTIVE+TEMPORARY → 200 FROZEN, blockReason, blockedAt</t>
  </si>
  <si>
    <t xml:space="preserve">Qeyd olunmayıb (TestPlan-da GRAD-203/204/302 'ən yüksək prioritet' qrupuna aid edilib)</t>
  </si>
  <si>
    <t xml:space="preserve">gradBlockCard.spec</t>
  </si>
  <si>
    <t xml:space="preserve">'#51'</t>
  </si>
  <si>
    <t xml:space="preserve">ACTIVE+LOST → 200 BLOCKED</t>
  </si>
  <si>
    <t xml:space="preserve">'#52'</t>
  </si>
  <si>
    <t xml:space="preserve">FROZEN+STOLEN → 200 BLOCKED (eskalasiya)</t>
  </si>
  <si>
    <t xml:space="preserve">'#53'</t>
  </si>
  <si>
    <t xml:space="preserve">FROZEN+TEMPORARY → 409 ALREADY_FROZEN</t>
  </si>
  <si>
    <t xml:space="preserve">'#54'</t>
  </si>
  <si>
    <t xml:space="preserve">BLOCKED kart, istənilən reason → 409 CARD_BLOCKED</t>
  </si>
  <si>
    <t xml:space="preserve">'#55'</t>
  </si>
  <si>
    <t xml:space="preserve">Yalnız BLOCKED+STOLEN kombinasiyası test olunur; 'istənilən reason' iddiasına baxmayaraq BLOCKED+TEMPORARY və BLOCKED+LOST kombinasiyaları ayrıca test edilmir. GAP (qismən).</t>
  </si>
  <si>
    <t xml:space="preserve">reason 'BROKEN' və ya yoxdur → 400 VALIDATION_ERROR</t>
  </si>
  <si>
    <t xml:space="preserve">'#56, #57'</t>
  </si>
  <si>
    <t xml:space="preserve">FROZEN/BLOCKED kartla ödəniş → 422 CARD_NOT_ACTIVE</t>
  </si>
  <si>
    <t xml:space="preserve">Tam (çarpaz fayl)</t>
  </si>
  <si>
    <t xml:space="preserve">gradBillPayments.spec '#92, #93'</t>
  </si>
  <si>
    <t xml:space="preserve">Bu AC GRAD-203 faylında deyil, GRAD-302-nin spec faylında test olunur (fərqli ticket-in faylında, lakin faktiki örtülüb).</t>
  </si>
  <si>
    <t xml:space="preserve">Token yox/etibarsız → 401; mövcud olmayan kart id → 404 NOT_FOUND</t>
  </si>
  <si>
    <t xml:space="preserve">'#58, #59'</t>
  </si>
  <si>
    <t xml:space="preserve">Əlavə (gap)</t>
  </si>
  <si>
    <t xml:space="preserve">Başqa istifadəçinin kartını bloklamaq (IDOR) — ümumi 'sahiblik olmayan resursa 404' qaydası</t>
  </si>
  <si>
    <t xml:space="preserve">Heç bir spec-də POST /cards/{id}/block üçün IDOR (başqa user-in kartı) testi yoxdur. GRAD-103/202-dəki IDOR pattern-i bura tətbiq edilməyib. GAP.</t>
  </si>
  <si>
    <t xml:space="preserve">GRAD-204</t>
  </si>
  <si>
    <t xml:space="preserve">FROZEN kart unblock → 200 ACTIVE; blockReason/blockedAt null</t>
  </si>
  <si>
    <t xml:space="preserve">gradUnblockCard.spec</t>
  </si>
  <si>
    <t xml:space="preserve">'#60'</t>
  </si>
  <si>
    <t xml:space="preserve">ACTIVE kart unblock → 409 NOT_FROZEN</t>
  </si>
  <si>
    <t xml:space="preserve">'#61'</t>
  </si>
  <si>
    <t xml:space="preserve">BLOCKED kart unblock → 409 PERMANENTLY_BLOCKED</t>
  </si>
  <si>
    <t xml:space="preserve">'#62'</t>
  </si>
  <si>
    <t xml:space="preserve">Açılmış (unblock olunmuş) kartla ödəniş → uğurla keçir (201)</t>
  </si>
  <si>
    <t xml:space="preserve">Heç bir spec-də unblock-dan sonra ödəniş testi yoxdur. GAP.</t>
  </si>
  <si>
    <t xml:space="preserve">Token yox/etibarsız → 401; mövcud olmayan kart id → 404</t>
  </si>
  <si>
    <t xml:space="preserve">'#63, #64'</t>
  </si>
  <si>
    <t xml:space="preserve">Başqa istifadəçinin kartını unblock etmək (IDOR)</t>
  </si>
  <si>
    <t xml:space="preserve">Heç bir spec-də POST /cards/{id}/unblock üçün IDOR testi yoxdur. GAP.</t>
  </si>
  <si>
    <t xml:space="preserve">EPIC-3: Kommunal ödənişlər</t>
  </si>
  <si>
    <t xml:space="preserve">GRAD-301</t>
  </si>
  <si>
    <t xml:space="preserve">Parametrsiz → 200; total 6; hər elementdə subscriberPattern/minAmount/maxAmount/fee</t>
  </si>
  <si>
    <t xml:space="preserve">Low (2 SP)</t>
  </si>
  <si>
    <t xml:space="preserve">gradBillersList.spec</t>
  </si>
  <si>
    <t xml:space="preserve">'#65'</t>
  </si>
  <si>
    <t xml:space="preserve">Bütün 6 billerin konkret dəyərləri (category/min/max/fee/pattern) ayrı-ayrı yoxlanılır.</t>
  </si>
  <si>
    <t xml:space="preserve">category=MOBILE → yalnız Azercell və Bakcell</t>
  </si>
  <si>
    <t xml:space="preserve">'#66'</t>
  </si>
  <si>
    <t xml:space="preserve">category=GAS → 400 VALIDATION_ERROR</t>
  </si>
  <si>
    <t xml:space="preserve">'#68'</t>
  </si>
  <si>
    <t xml:space="preserve">category=INTERNET filtri; token yox → 401</t>
  </si>
  <si>
    <t xml:space="preserve">'#67, #69'</t>
  </si>
  <si>
    <t xml:space="preserve">GRAD-302</t>
  </si>
  <si>
    <t xml:space="preserve">Etibarlı ödəniş → 201 SUCCESS; total=amount+fee; balanceAfter; Location header var</t>
  </si>
  <si>
    <t xml:space="preserve">Highest (8 SP)</t>
  </si>
  <si>
    <t xml:space="preserve">gradBillPayments.spec</t>
  </si>
  <si>
    <t xml:space="preserve">'#70'</t>
  </si>
  <si>
    <t xml:space="preserve">status/fee/total/balanceAfter yoxlanılır, lakin Location header POST /bill-payments cavabında HEÇ BİR ssenaridə assert edilmir (yalnız /cards POST-da yoxlanılır, #74). GAP (qismən).</t>
  </si>
  <si>
    <t xml:space="preserve">Ödəniş sonrası GET /cards/{id}: availableBalance azalıb, spentToday artıb</t>
  </si>
  <si>
    <t xml:space="preserve">'#74' (yalnız balans)</t>
  </si>
  <si>
    <t xml:space="preserve">availableBalance 49.5 yoxlanılır, spentToday heç vaxt assert edilmir (bax GRAD-202 AC-2 ilə eyni gap). GAP.</t>
  </si>
  <si>
    <t xml:space="preserve">Sandbox-da ilk ödəniş: receiptNo RCP-YYYYMMDD-000001, hər növbəti +1</t>
  </si>
  <si>
    <t xml:space="preserve">Heç bir ssenaridə receiptNo formatı və ya artımı yoxlanılmır. GAP.</t>
  </si>
  <si>
    <t xml:space="preserve">Eyni Idempotency-Key+body təkrar → 200 (201 yox), eyni id, Idempotent-Replay:true, balans ikinci dəfə azalmır</t>
  </si>
  <si>
    <t xml:space="preserve">'#74'</t>
  </si>
  <si>
    <t xml:space="preserve">Eyni Idempotency-Key, fərqli amount → 409 IDEMPOTENCY_CONFLICT</t>
  </si>
  <si>
    <t xml:space="preserve">'#75'</t>
  </si>
  <si>
    <t xml:space="preserve">Idempotency-Key yoxdur → 400 IDEMPOTENCY_KEY_REQUIRED</t>
  </si>
  <si>
    <t xml:space="preserve">'#72'</t>
  </si>
  <si>
    <t xml:space="preserve">Əlavə: '#73' Idempotency-Key çox qısa → 400 IDEMPOTENCY_KEY_INVALID (AC-dən artıq, 8-64 simvol qaydasını dəstəkləyir).</t>
  </si>
  <si>
    <t xml:space="preserve">Azercell-ə Bakcell-pattern nömrə (551234567) → 422 INVALID_SUBSCRIBER</t>
  </si>
  <si>
    <t xml:space="preserve">'#80' (fərqli kombinasiya: Azərişıq + həddindən qısa nömrə)</t>
  </si>
  <si>
    <t xml:space="preserve">AC-7-də dəqiq göstərilən Azercell/Bakcell kombinasiyası test edilmir; '#80' INVALID_SUBSCRIBER kod yolunu fərqli biller+nömrə ilə yoxlayır. Dəqiq ssenari fərqlidir (deviation).</t>
  </si>
  <si>
    <t xml:space="preserve">Azercell: 0.49/200.01 → 422 AMOUNT_OUT_OF_RANGE; 0.50/200.00 qəbul</t>
  </si>
  <si>
    <t xml:space="preserve">Qismən (deviation)</t>
  </si>
  <si>
    <t xml:space="preserve">'#85, #86' (CityNet 4.99/150.01 ilə)</t>
  </si>
  <si>
    <t xml:space="preserve">Avtomasiya AC-8-də göstərilən Azercell dəyərləri (0.49/200.01) əvəzinə CityNet dəyərlərini (4.99/150.01) istifadə edir. Məntiq (AMOUNT_OUT_OF_RANGE) eynidir, lakin AC-də göstərilən dəqiq biller/dəyərlər test edilmir.</t>
  </si>
  <si>
    <t xml:space="preserve">CityNet: 5/20/21/150 AZN → fee 0.20/0.20/0.21/1.50</t>
  </si>
  <si>
    <t xml:space="preserve">'#81,#82,#83,#84'</t>
  </si>
  <si>
    <t xml:space="preserve">Dəqiq AC dəyərləri ilə tam uyğundur.</t>
  </si>
  <si>
    <t xml:space="preserve">Aztelekom: istənilən məbləğ → fee 0.50 (sabit)</t>
  </si>
  <si>
    <t xml:space="preserve">'#71'</t>
  </si>
  <si>
    <t xml:space="preserve">AC-11</t>
  </si>
  <si>
    <t xml:space="preserve">total 300.01 → 422 PER_TRANSACTION_LIMIT; 300.00 keçir</t>
  </si>
  <si>
    <t xml:space="preserve">'#87, #88'</t>
  </si>
  <si>
    <t xml:space="preserve">AC-12</t>
  </si>
  <si>
    <t xml:space="preserve">Bu gün 500 xərclənib, 1 AZN də ödənir → 422 DAILY_LIMIT_EXCEEDED, remaining:0</t>
  </si>
  <si>
    <t xml:space="preserve">'#89'</t>
  </si>
  <si>
    <t xml:space="preserve">Kod (DAILY_LIMIT_EXCEEDED) yoxlanılır, lakin 'remaining':0 sahəsi heç bir assertion-da yoxlanılmır. GAP (qismən).</t>
  </si>
  <si>
    <t xml:space="preserve">AC-13</t>
  </si>
  <si>
    <t xml:space="preserve">Balans 49.50: 49.51 rədd INSUFFICIENT_FUNDS / 49.50 qəbul, balanceAfter 0</t>
  </si>
  <si>
    <t xml:space="preserve">'#90, #91'</t>
  </si>
  <si>
    <t xml:space="preserve">AC-14</t>
  </si>
  <si>
    <t xml:space="preserve">FROZEN kart → CARD_NOT_ACTIVE; USD kart → CURRENCY_NOT_SUPPORTED</t>
  </si>
  <si>
    <t xml:space="preserve">'#92 (FROZEN), #93 (BLOCKED), #94 (USD)'</t>
  </si>
  <si>
    <t xml:space="preserve">BLOCKED kartla ödəniş də əlavə test olunur (AC-14 FROZEN-i açıq deyir, BLOCKED AC-7-yə uyğundur).</t>
  </si>
  <si>
    <t xml:space="preserve">AC-15</t>
  </si>
  <si>
    <t xml:space="preserve">amount mətn ("10") → 400 VALIDATION_ERROR</t>
  </si>
  <si>
    <t xml:space="preserve">'#79'</t>
  </si>
  <si>
    <t xml:space="preserve">Mövcud olmayan billerId → 404 BILLER_NOT_FOUND; mövcud olmayan cardId → 404 CARD_NOT_FOUND; token yox → 401</t>
  </si>
  <si>
    <t xml:space="preserve">'#76, #77, #78'</t>
  </si>
  <si>
    <t xml:space="preserve">Ümumi yoxlama ardıcıllığı qaydalarını dəstəkləyir.</t>
  </si>
  <si>
    <t xml:space="preserve">GRAD-303</t>
  </si>
  <si>
    <t xml:space="preserve">Parametrsiz → 200; page 1, limit 10; ən yeni ödəniş birinci</t>
  </si>
  <si>
    <t xml:space="preserve">Medium (5 SP)</t>
  </si>
  <si>
    <t xml:space="preserve">gradPaymentHistory.spec</t>
  </si>
  <si>
    <t xml:space="preserve">'#1'</t>
  </si>
  <si>
    <t xml:space="preserve">18 ödəniş, limit 10, page=2 → 8 element; totalPages 2</t>
  </si>
  <si>
    <t xml:space="preserve">'#2'</t>
  </si>
  <si>
    <t xml:space="preserve">Azalan sıra (createdAt) da yoxlanılır.</t>
  </si>
  <si>
    <t xml:space="preserve">page=3 (mövcud deyil) → 200, items []</t>
  </si>
  <si>
    <t xml:space="preserve">'#3'</t>
  </si>
  <si>
    <t xml:space="preserve">limit=0/51, page=0/-1/abc → 400; limit 1 və 50 qəbul olunur</t>
  </si>
  <si>
    <t xml:space="preserve">'#4,#5,#6,#7,#8' (yalnız rədd tərəfi)</t>
  </si>
  <si>
    <t xml:space="preserve">Rədd ssenariləri (limit=0/51, page=0/-1/abc) tam örtülüb; lakin limitin QƏBUL olunan sərhədləri (limit=1, limit=50) heç bir testdə ayrıca yoxlanılmır. GAP (qismən).</t>
  </si>
  <si>
    <t xml:space="preserve">from=2026-13-01 (mövcud olmayan tarix) → 400</t>
  </si>
  <si>
    <t xml:space="preserve">'#9'</t>
  </si>
  <si>
    <t xml:space="preserve">from &gt; to → 400</t>
  </si>
  <si>
    <t xml:space="preserve">'#10'</t>
  </si>
  <si>
    <t xml:space="preserve">from=to=bu gün → bu günün bütün ödənişləri</t>
  </si>
  <si>
    <t xml:space="preserve">'#11'</t>
  </si>
  <si>
    <t xml:space="preserve">billerId=citynet → yalnız citynet ödənişləri</t>
  </si>
  <si>
    <t xml:space="preserve">'#12'</t>
  </si>
  <si>
    <t xml:space="preserve">Token yoxdur → 401</t>
  </si>
  <si>
    <t xml:space="preserve">'#13'</t>
  </si>
  <si>
    <t xml:space="preserve">ÜMUMİ QAYDALAR</t>
  </si>
  <si>
    <t xml:space="preserve">Bütün endpointlər</t>
  </si>
  <si>
    <t xml:space="preserve">Qayda-1</t>
  </si>
  <si>
    <t xml:space="preserve">Error format: {error, code} — koda görə assert, mesaja yox</t>
  </si>
  <si>
    <t xml:space="preserve">Bütün ticketlər üçün keçərli</t>
  </si>
  <si>
    <t xml:space="preserve">Bütün spec faylları</t>
  </si>
  <si>
    <t xml:space="preserve">Hər neqativ ssenaridə 'code' sahəsi assert edilir, mesaj mətni yox — qaydaya tam riayət edilir.</t>
  </si>
  <si>
    <t xml:space="preserve">Qayda-2</t>
  </si>
  <si>
    <t xml:space="preserve">Sahiblik olmayan resursa giriş → 404 (403 yox)</t>
  </si>
  <si>
    <t xml:space="preserve">gradDeleteBeneficiary.spec, gradGetCard.spec</t>
  </si>
  <si>
    <t xml:space="preserve">GRAD-103 IDOR, GRAD-202 IDOR</t>
  </si>
  <si>
    <t xml:space="preserve">Yalnız DELETE /beneficiaries/{id} və GET /cards/{id} üçün test olunub. POST /cards/{id}/block və /unblock üçün YOXDUR (yuxarıdaki GRAD-203/204 gap qeydlərinə bax).</t>
  </si>
  <si>
    <t xml:space="preserve">Qayda-3</t>
  </si>
  <si>
    <t xml:space="preserve">Rate limit: 600 sorğu/10 saniyə (token/sessiya üzrə)</t>
  </si>
  <si>
    <t xml:space="preserve">AC-Reference-də özü 'HƏLƏ TEST EDİLMƏYİB' kimi işarələnib. Heç bir spec faylında test yoxdur.</t>
  </si>
  <si>
    <t xml:space="preserve">Qayda-4</t>
  </si>
  <si>
    <t xml:space="preserve">Token 24 saat etibarlıdır, sandbox data 24 saatdan sonra sıfırlanır</t>
  </si>
  <si>
    <t xml:space="preserve">Qayda-5</t>
  </si>
  <si>
    <t xml:space="preserve">Pul sahələri number, maksimum 2 onluq</t>
  </si>
  <si>
    <t xml:space="preserve">gradCreateCard.spec (GRAD-201 AC-4), gradBillPayments.spec (GRAD-302 AC-15)</t>
  </si>
  <si>
    <t xml:space="preserve">'10.555' (kart) → 400; amount mətn kimi ("10") → 400</t>
  </si>
  <si>
    <t xml:space="preserve">AC-Reference-də özü 'hələ ayrıca test edilməyib' kimi qeyd olunub. Yalnız qismən (mətn forması və 3-decimal nümunəsi kartda) örtülüb; onluq dəqiqliyi bill-payments amount üçün ayrıca sərhəd testi yoxdur.</t>
  </si>
  <si>
    <t xml:space="preserve">Cəmi AC</t>
  </si>
  <si>
    <t xml:space="preserve">Yoxdur</t>
  </si>
  <si>
    <t xml:space="preserve">Avtomat spec faylı</t>
  </si>
  <si>
    <t xml:space="preserve">CƏMİ</t>
  </si>
  <si>
    <t xml:space="preserve">Qeyd: 'Cəmi AC' yalnız nömrələnmiş AC-ləri sayır (Əlavə/Ümumi qaydalar sətirləri xaric). Mənbə: GRAD-AC-Reference.md (verbatim) + mövcud Gauge .spec faylları.</t>
  </si>
  <si>
    <t xml:space="preserve">TC ID</t>
  </si>
  <si>
    <t xml:space="preserve">Mənbə (spec/Postman faylı və ssenari)</t>
  </si>
  <si>
    <t xml:space="preserve">Test Case Adı</t>
  </si>
  <si>
    <t xml:space="preserve">Növ</t>
  </si>
  <si>
    <t xml:space="preserve">Prioritet</t>
  </si>
  <si>
    <t xml:space="preserve">Ön şərt</t>
  </si>
  <si>
    <t xml:space="preserve">Addımlar</t>
  </si>
  <si>
    <t xml:space="preserve">Test Data</t>
  </si>
  <si>
    <t xml:space="preserve">Gözlənilən Nəticə</t>
  </si>
  <si>
    <t xml:space="preserve">Manual/Avtomat</t>
  </si>
  <si>
    <t xml:space="preserve">Avtomatlaşdırma Əsaslandırması</t>
  </si>
  <si>
    <t xml:space="preserve">Regression-da?</t>
  </si>
  <si>
    <t xml:space="preserve">Status</t>
  </si>
  <si>
    <t xml:space="preserve">Qeyd/Gap</t>
  </si>
  <si>
    <t xml:space="preserve">TC-API-101-01</t>
  </si>
  <si>
    <t xml:space="preserve">gradBeneficiaryTesting.spec / "1. Etibarlı sorğu ilə alıcı yaratmaq"</t>
  </si>
  <si>
    <t xml:space="preserve">1. Etibarlı sorğu ilə alıcı yaratmaq</t>
  </si>
  <si>
    <t xml:space="preserve">Pozitiv</t>
  </si>
  <si>
    <t xml:space="preserve">Orta</t>
  </si>
  <si>
    <t xml:space="preserve">user1@test.com istifadəçisi kimi login olunub, etibarlı token mövcuddur</t>
  </si>
  <si>
    <t xml:space="preserve">1) Post /auth/login — body: {"email":"user1@test.com","password":"User1234"}
2) Post /beneficiaries — body: {"fullName":"Nigar Əliyeva","iban":"AZ77AIIB40060019440123456789","currency":"AZN","nic...</t>
  </si>
  <si>
    <t xml:space="preserve">{"fullName":"Nigar Əliyeva","iban":"AZ77AIIB40060019440123456789","currency":"AZN","nickname":"Anam"}</t>
  </si>
  <si>
    <t xml:space="preserve">Status=201; iban=AZ77AIIB40060019440123456789; currency=AZN; nickname=Anam</t>
  </si>
  <si>
    <t xml:space="preserve">Avtomat (regression-da)</t>
  </si>
  <si>
    <t xml:space="preserve">İlk dəfə Postman-da manual yoxlanılıb (happy path + əsas neqativ), təsdiqləndikdən sonra Gauge .spec kimi regression-a avtomatlaşdırılıb (bax Test Plan, bölmə 2: Test strategiyası).</t>
  </si>
  <si>
    <t xml:space="preserve">Bəli</t>
  </si>
  <si>
    <t xml:space="preserve">PASSED</t>
  </si>
  <si>
    <t xml:space="preserve">TC-API-101-02</t>
  </si>
  <si>
    <t xml:space="preserve">gradBeneficiaryTesting.spec / "2. IBAN normallaşdırma (boşluq + kiçik hərf)"</t>
  </si>
  <si>
    <t xml:space="preserve">2. IBAN normallaşdırma (boşluq + kiçik hərf)</t>
  </si>
  <si>
    <t xml:space="preserve">1) Post /auth/login — body: {"email":"user1@test.com","password":"User1234"}
2) Post /beneficiaries — body: {"fullName":"Elvin Məmmədov","iban":"az77 aiib 4006 0019 4401 2345 6789","currency":"AZ...</t>
  </si>
  <si>
    <t xml:space="preserve">{"fullName":"Elvin Məmmədov","iban":"az77 aiib 4006 0019 4401 2345 6789","currency":"AZN","nickname":"Dost"}</t>
  </si>
  <si>
    <t xml:space="preserve">Status=201; iban=AZ77AIIB40060019440123456789</t>
  </si>
  <si>
    <t xml:space="preserve">TC-API-101-03</t>
  </si>
  <si>
    <t xml:space="preserve">gradBeneficiaryTesting.spec / "3. nickname göndərilmədikdə null qaytarılır"</t>
  </si>
  <si>
    <t xml:space="preserve">3. nickname göndərilmədikdə null qaytarılır</t>
  </si>
  <si>
    <t xml:space="preserve">1) Post /auth/login — body: {"email":"user1@test.com","password":"User1234"}
2) Post /beneficiaries — body: {"fullName":"Kamran Hüseynov","iban":"AZ77AIIB40060019440123456789","currency":"AZN"}</t>
  </si>
  <si>
    <t xml:space="preserve">{"fullName":"Kamran Hüseynov","iban":"AZ77AIIB40060019440123456789","currency":"AZN"}</t>
  </si>
  <si>
    <t xml:space="preserve">Status=201; nickname=null</t>
  </si>
  <si>
    <t xml:space="preserve">TC-API-101-04</t>
  </si>
  <si>
    <t xml:space="preserve">gradBeneficiaryTesting.spec / "4. Bir neçə sahə eyni anda səhv"</t>
  </si>
  <si>
    <t xml:space="preserve">4. Bir neçə sahə eyni anda səhv</t>
  </si>
  <si>
    <t xml:space="preserve">Neqativ</t>
  </si>
  <si>
    <t xml:space="preserve">1) Post /auth/login — body: {"email":"user1@test.com","password":"User1234"}
2) Post /beneficiaries — body: {"fullName":"A","iban":"123","currency":"AZN"}</t>
  </si>
  <si>
    <t xml:space="preserve">{"fullName":"A","iban":"123","currency":"AZN"}</t>
  </si>
  <si>
    <t xml:space="preserve">Status=400; code=VALIDATION_ERROR</t>
  </si>
  <si>
    <t xml:space="preserve">TC-API-101-05</t>
  </si>
  <si>
    <t xml:space="preserve">gradBeneficiaryTesting.spec / "5. fullName uzunluq sərhədi — 1 simvol (rədd)"</t>
  </si>
  <si>
    <t xml:space="preserve">5. fullName uzunluq sərhədi — 1 simvol (rədd)</t>
  </si>
  <si>
    <t xml:space="preserve">Sərhəd (BVA)</t>
  </si>
  <si>
    <t xml:space="preserve">1) Post /auth/login — body: {"email":"user1@test.com","password":"User1234"}
2) Post /beneficiaries — body: {"fullName":"V","iban":"AZ77AIIB40060019440123456789","currency":"AZN"}</t>
  </si>
  <si>
    <t xml:space="preserve">{"fullName":"V","iban":"AZ77AIIB40060019440123456789","currency":"AZN"}</t>
  </si>
  <si>
    <t xml:space="preserve">Status=400</t>
  </si>
  <si>
    <t xml:space="preserve">TC-API-101-06</t>
  </si>
  <si>
    <t xml:space="preserve">gradBeneficiaryTesting.spec / "6. fullName uzunluq sərhədi — 2 simvol (qəbul)"</t>
  </si>
  <si>
    <t xml:space="preserve">6. fullName uzunluq sərhədi — 2 simvol (qəbul)</t>
  </si>
  <si>
    <t xml:space="preserve">1) Post /auth/login — body: {"email":"user1@test.com","password":"User1234"}
2) Post /beneficiaries — body: {"fullName":"Və","iban":"AZ77AIIB40060019440123456789","currency":"AZN"}</t>
  </si>
  <si>
    <t xml:space="preserve">{"fullName":"Və","iban":"AZ77AIIB40060019440123456789","currency":"AZN"}</t>
  </si>
  <si>
    <t xml:space="preserve">Status=201</t>
  </si>
  <si>
    <t xml:space="preserve">TC-API-101-07</t>
  </si>
  <si>
    <t xml:space="preserve">gradBeneficiaryTesting.spec / "7. fullName uzunluq sərhədi — 50 simvol (qəbul)"</t>
  </si>
  <si>
    <t xml:space="preserve">7. fullName uzunluq sərhədi — 50 simvol (qəbul)</t>
  </si>
  <si>
    <t xml:space="preserve">1) Post /auth/login — body: {"email":"user1@test.com","password":"User1234"}
2) Post /beneficiaries — body: {"fullName":"VəliQızıAnarHəsənovaYusifTağıyevVəliQızıAnarHəsəno","iban":"AZ77AIIB400600...</t>
  </si>
  <si>
    <t xml:space="preserve">{"fullName":"VəliQızıAnarHəsənovaYusifTağıyevVəliQızıAnarHəsəno","iban":"AZ77AIIB40060019440123456789","currency":"AZN"}</t>
  </si>
  <si>
    <t xml:space="preserve">TC-API-101-08</t>
  </si>
  <si>
    <t xml:space="preserve">gradBeneficiaryTesting.spec / "8. fullName uzunluq sərhədi — 51 simvol (rədd)"</t>
  </si>
  <si>
    <t xml:space="preserve">8. fullName uzunluq sərhədi — 51 simvol (rədd)</t>
  </si>
  <si>
    <t xml:space="preserve">1) Post /auth/login — body: {"email":"user1@test.com","password":"User1234"}
2) Post /beneficiaries — body: {"fullName":"VəliQızıAnarHəsənovaYusifTağıyevVəliQızıAnarHəsənov","iban":"AZ77AIIB40060...</t>
  </si>
  <si>
    <t xml:space="preserve">{"fullName":"VəliQızıAnarHəsənovaYusifTağıyevVəliQızıAnarHəsənov","iban":"AZ77AIIB40060019440123456789","currency":"AZN"}</t>
  </si>
  <si>
    <t xml:space="preserve">TC-API-101-09</t>
  </si>
  <si>
    <t xml:space="preserve">gradBeneficiaryTesting.spec / "9. fullName format — hərflə başlamır ("---")"</t>
  </si>
  <si>
    <t xml:space="preserve">9. fullName format — hərflə başlamır ("---")</t>
  </si>
  <si>
    <t xml:space="preserve">1) Post /auth/login — body: {"email":"user1@test.com","password":"User1234"}
2) Post /beneficiaries — body: {"fullName":"---","iban":"AZ77AIIB40060019440123456789","currency":"AZN"}</t>
  </si>
  <si>
    <t xml:space="preserve">{"fullName":"---","iban":"AZ77AIIB40060019440123456789","currency":"AZN"}</t>
  </si>
  <si>
    <t xml:space="preserve">TC-API-101-10</t>
  </si>
  <si>
    <t xml:space="preserve">gradBeneficiaryTesting.spec / "10. fullName format — rəqəm var ("Ali2")"</t>
  </si>
  <si>
    <t xml:space="preserve">10. fullName format — rəqəm var ("Ali2")</t>
  </si>
  <si>
    <t xml:space="preserve">1) Post /auth/login — body: {"email":"user1@test.com","password":"User1234"}
2) Post /beneficiaries — body: {"fullName":"Ali2","iban":"AZ77AIIB40060019440123456789","currency":"AZN"}</t>
  </si>
  <si>
    <t xml:space="preserve">{"fullName":"Ali2","iban":"AZ77AIIB40060019440123456789","currency":"AZN"}</t>
  </si>
  <si>
    <t xml:space="preserve">TC-API-101-11</t>
  </si>
  <si>
    <t xml:space="preserve">gradBeneficiaryTesting.spec / "11. Eyni IBAN təkrar əlavə edilir"</t>
  </si>
  <si>
    <t xml:space="preserve">11. Eyni IBAN təkrar əlavə edilir</t>
  </si>
  <si>
    <t xml:space="preserve">1) Post /auth/login — body: {"email":"user1@test.com","password":"User1234"}
2) Post /beneficiaries — body: {"fullName":"Rəşad Quliyev","iban":"AZ77AIIB40060019440123456789","currency":"AZN"}
3) Post /beneficiaries — body: {"fullName":"Başqa Ad","iban":"AZ77AIIB40060019440123456789","currency":"AZN"}</t>
  </si>
  <si>
    <t xml:space="preserve">{"fullName":"Başqa Ad","iban":"AZ77AIIB40060019440123456789","currency":"AZN"}</t>
  </si>
  <si>
    <t xml:space="preserve">Status=409; code=BENEFICIARY_EXISTS</t>
  </si>
  <si>
    <t xml:space="preserve">TC-API-101-12</t>
  </si>
  <si>
    <t xml:space="preserve">gradBeneficiaryTesting.spec / "12. nickname unikallığı (case-insensitive)"</t>
  </si>
  <si>
    <t xml:space="preserve">12. nickname unikallığı (case-insensitive)</t>
  </si>
  <si>
    <t xml:space="preserve">1) Post /auth/login — body: {"email":"user1@test.com","password":"User1234"}
2) Post /beneficiaries — body: {"fullName":"Anar Vəliyev","iban":"AZ77AIIB40060019440123456789","currency":"AZN","nick...
3) Post /beneficiaries — body: {"fullName":"Fərid Əhmədov","iban":"AZ77AIIB40060019440123456700","currency":"AZN","nic...</t>
  </si>
  <si>
    <t xml:space="preserve">{"fullName":"Fərid Əhmədov","iban":"AZ77AIIB40060019440123456700","currency":"AZN","nickname":"ANAM"}</t>
  </si>
  <si>
    <t xml:space="preserve">Status=409; code=NICKNAME_TAKEN</t>
  </si>
  <si>
    <t xml:space="preserve">TC-API-101-13</t>
  </si>
  <si>
    <t xml:space="preserve">gradBeneficiaryTesting.spec / "13. Öz hesabının IBAN-ı əlavə edilir"</t>
  </si>
  <si>
    <t xml:space="preserve">13. Öz hesabının IBAN-ı əlavə edilir</t>
  </si>
  <si>
    <t xml:space="preserve">1) Post /auth/login — body: {"email":"user1@test.com","password":"User1234"}
2) Post /beneficiaries — body: {"fullName":"Özüm","iban":"AZ29NABZ00000000137010002855","currency":"AZN"}</t>
  </si>
  <si>
    <t xml:space="preserve">{"fullName":"Özüm","iban":"AZ29NABZ00000000137010002855","currency":"AZN"}</t>
  </si>
  <si>
    <t xml:space="preserve">Status=422; code=OWN_ACCOUNT</t>
  </si>
  <si>
    <t xml:space="preserve">TC-API-101-14</t>
  </si>
  <si>
    <t xml:space="preserve">gradBeneficiaryTesting.spec / "14. Alıcı limiti (10) aşılır"</t>
  </si>
  <si>
    <t xml:space="preserve">14. Alıcı limiti (10) aşılır</t>
  </si>
  <si>
    <t xml:space="preserve">1) Post /auth/login — body: {"email":"user1@test.com","password":"User1234"}
2) Post /beneficiaries — body: {"fullName":"Alıcı Bir","iban":"AZ77AIIB40060019440123456700","currency":"AZN"}
3) Post /beneficiaries — body: {"fullName":"Alıcı İki","iban":"AZ77AIIB40060019440123456701","currency":"AZN"}
4) Post /beneficiaries — body: {"fullName":"Alıcı Üç","iban":"AZ77AIIB40060019440123456702","currency":"AZN"}
5) Post /beneficiaries — body: {"fullName":"Alıcı Dörd","iban":"AZ77AIIB40060019440123456703","currency":"AZN"}
6) Post /beneficiaries — body: {"fullName":"Alıcı Beş","iban":"AZ77AIIB40060019440123456704","currency":"AZN"}
7) Post /beneficiaries — body: {"fullName":"Alıcı Altı","iban":"AZ77AIIB40060019440123456705","currency":"AZN"}
8) Post /beneficiaries — body: {"fullName":"Alıcı Yeddi","iban":"AZ77AIIB40060019440123456706","currency":"AZN"}
9) Post /beneficiaries — body: {"fullName":"Alıcı Səkkiz","iban":"AZ77AIIB40060019440123456707","currency":"AZN"}
10) Post /beneficiaries — body: {"fullName":"Alıcı Doqquz","iban":"AZ77AIIB40060019440123456708","currency":"AZN"}
11) Post /beneficiaries — body: {"fullName":"Alıcı On","iban":"AZ77AIIB40060019440123456709","currency":"AZN"}
12) Post /beneficiaries — body: {"fullName":"On Birinci","iban":"AZ77AIIB40060019440123456711","currency":"AZN"}</t>
  </si>
  <si>
    <t xml:space="preserve">{"fullName":"On Birinci","iban":"AZ77AIIB40060019440123456711","currency":"AZN"}</t>
  </si>
  <si>
    <t xml:space="preserve">Status=422; code=LIMIT_REACHED</t>
  </si>
  <si>
    <t xml:space="preserve">TC-API-101-15</t>
  </si>
  <si>
    <t xml:space="preserve">gradBeneficiaryTesting.spec / "15. Token yoxdur"</t>
  </si>
  <si>
    <t xml:space="preserve">15. Token yoxdur</t>
  </si>
  <si>
    <t xml:space="preserve">Təhlükəsizlik</t>
  </si>
  <si>
    <t xml:space="preserve">Əvvəlki addımların nəticəsi (məs. mövcud kart/alıcı) mövcuddur</t>
  </si>
  <si>
    <t xml:space="preserve">1) Post /beneficiaries — body: {"fullName":"Token Yox","iban":"AZ77AIIB40060019440123456789","currency":"AZN"}</t>
  </si>
  <si>
    <t xml:space="preserve">{"fullName":"Token Yox","iban":"AZ77AIIB40060019440123456789","currency":"AZN"}</t>
  </si>
  <si>
    <t xml:space="preserve">Status=401</t>
  </si>
  <si>
    <t xml:space="preserve">TC-API-101-16</t>
  </si>
  <si>
    <t xml:space="preserve">gradBeneficiaryTesting.spec / "16. Saxta token"</t>
  </si>
  <si>
    <t xml:space="preserve">16. Saxta token</t>
  </si>
  <si>
    <t xml:space="preserve">1) Post /beneficiaries — body: {"fullName":"Saxta Token","iban":"AZ77AIIB40060019440123456789","currency":"AZN"}</t>
  </si>
  <si>
    <t xml:space="preserve">{"fullName":"Saxta Token","iban":"AZ77AIIB40060019440123456789","currency":"AZN"}</t>
  </si>
  <si>
    <t xml:space="preserve">TC-API-101-17</t>
  </si>
  <si>
    <t xml:space="preserve">gradBeneficiaryTesting.spec / "17. Body etibarlı JSON deyil"</t>
  </si>
  <si>
    <t xml:space="preserve">17. Body etibarlı JSON deyil</t>
  </si>
  <si>
    <t xml:space="preserve">1) Post /auth/login — body: {"email":"user1@test.com","password":"User1234"}
2) Post /beneficiaries — body: {fullName: Ali</t>
  </si>
  <si>
    <t xml:space="preserve">{fullName: Ali</t>
  </si>
  <si>
    <t xml:space="preserve">Status=400; code=INVALID_JSON</t>
  </si>
  <si>
    <t xml:space="preserve">TC-API-101-18</t>
  </si>
  <si>
    <t xml:space="preserve">gradBeneficiaryTesting.spec / "18. SQL-injection payload — fullName"</t>
  </si>
  <si>
    <t xml:space="preserve">18. SQL-injection payload — fullName</t>
  </si>
  <si>
    <t xml:space="preserve">1) Post /auth/login — body: {"email":"user1@test.com","password":"User1234"}
2) Post /beneficiaries — body: {"fullName":"Ali' OR '1'='1","iban":"AZ77AIIB40060019440123456789","currency":"AZN"}</t>
  </si>
  <si>
    <t xml:space="preserve">{"fullName":"Ali' OR '1'='1","iban":"AZ77AIIB40060019440123456789","currency":"AZN"}</t>
  </si>
  <si>
    <t xml:space="preserve">TC-API-101-19</t>
  </si>
  <si>
    <t xml:space="preserve">gradBeneficiaryTesting.spec / "19. XSS payload — nickname"</t>
  </si>
  <si>
    <t xml:space="preserve">19. XSS payload — nickname</t>
  </si>
  <si>
    <t xml:space="preserve">1) Post /auth/login — body: {"email":"user1@test.com","password":"User1234"}
2) Post /beneficiaries — body: {"fullName":"Elvin Elvinov","iban":"AZ77AIIB40060019440123456789","currency":"AZN","nic...</t>
  </si>
  <si>
    <t xml:space="preserve">{"fullName":"Elvin Elvinov","iban":"AZ77AIIB40060019440123456789","currency":"AZN","nickname":"&lt;script&gt;alert(1)&lt;/script&gt;"}</t>
  </si>
  <si>
    <t xml:space="preserve">TC-API-101-20</t>
  </si>
  <si>
    <t xml:space="preserve">gradBeneficiaryTesting.spec / "20. Azərbaycan hərfləri + defis/apostrof qəbulu"</t>
  </si>
  <si>
    <t xml:space="preserve">20. Azərbaycan hərfləri + defis/apostrof qəbulu</t>
  </si>
  <si>
    <t xml:space="preserve">1) Post /auth/login — body: {"email":"user1@test.com","password":"User1234"}
2) Post /beneficiaries — body: {"fullName":"Vəli-Qızı O'Brien","iban":"AZ77AIIB40060019440123456789","currency":"AZN"}</t>
  </si>
  <si>
    <t xml:space="preserve">{"fullName":"Vəli-Qızı O'Brien","iban":"AZ77AIIB40060019440123456789","currency":"AZN"}</t>
  </si>
  <si>
    <t xml:space="preserve">TC-API-101-21</t>
  </si>
  <si>
    <t xml:space="preserve">gradBeneficiaryTesting.spec / "21. IBAN uzunluq sərhədi — 27 simvol"</t>
  </si>
  <si>
    <t xml:space="preserve">21. IBAN uzunluq sərhədi — 27 simvol</t>
  </si>
  <si>
    <t xml:space="preserve">1) Post /auth/login — body: {"email":"user1@test.com","password":"User1234"}
2) Post /beneficiaries — body: {"fullName":"Qısa Iban","iban":"AZ77AIIB4006001944012345678","currency":"AZN"}</t>
  </si>
  <si>
    <t xml:space="preserve">{"fullName":"Qısa Iban","iban":"AZ77AIIB4006001944012345678","currency":"AZN"}</t>
  </si>
  <si>
    <t xml:space="preserve">Status=400; details[0].field=iban</t>
  </si>
  <si>
    <t xml:space="preserve">TC-API-101-22</t>
  </si>
  <si>
    <t xml:space="preserve">gradBeneficiaryTesting.spec / "22. IBAN uzunluq sərhədi — 29 simvol"</t>
  </si>
  <si>
    <t xml:space="preserve">22. IBAN uzunluq sərhədi — 29 simvol</t>
  </si>
  <si>
    <t xml:space="preserve">1) Post /auth/login — body: {"email":"user1@test.com","password":"User1234"}
2) Post /beneficiaries — body: {"fullName":"Uzun Iban","iban":"AZ77AIIB400600194401234567899","currency":"AZN"}</t>
  </si>
  <si>
    <t xml:space="preserve">{"fullName":"Uzun Iban","iban":"AZ77AIIB400600194401234567899","currency":"AZN"}</t>
  </si>
  <si>
    <t xml:space="preserve">TC-API-102-01</t>
  </si>
  <si>
    <t xml:space="preserve">gradListBeneficiaries.spec / "Token olmadan GET sorğusu"</t>
  </si>
  <si>
    <t xml:space="preserve">Token olmadan GET sorğusu</t>
  </si>
  <si>
    <t xml:space="preserve">Aşağı</t>
  </si>
  <si>
    <t xml:space="preserve">1) Get /beneficiaries</t>
  </si>
  <si>
    <t xml:space="preserve">TC-API-102-02</t>
  </si>
  <si>
    <t xml:space="preserve">gradListBeneficiaries.spec / "Mövcud olmayan adla axtarış - heç ne tapılmır"</t>
  </si>
  <si>
    <t xml:space="preserve">Mövcud olmayan adla axtarış - heç ne tapılmır</t>
  </si>
  <si>
    <t xml:space="preserve">1) Post /auth/login — body: {"email":"user1@test.com","password":"User1234"}
2) Get /beneficiaries</t>
  </si>
  <si>
    <t xml:space="preserve">{"email":"user1@test.com","password":"User1234"}</t>
  </si>
  <si>
    <t xml:space="preserve">Status=200; total=0</t>
  </si>
  <si>
    <t xml:space="preserve">TC-API-102-03</t>
  </si>
  <si>
    <t xml:space="preserve">gradListBeneficiaries.spec / "q parametri minimum uzunluqdan qısadır"</t>
  </si>
  <si>
    <t xml:space="preserve">q parametri minimum uzunluqdan qısadır</t>
  </si>
  <si>
    <t xml:space="preserve">Status=400; code=VALIDATION_ERROR; details[0].field=q</t>
  </si>
  <si>
    <t xml:space="preserve">TC-API-102-04</t>
  </si>
  <si>
    <t xml:space="preserve">gradListBeneficiaries.spec / "Etibarsız sort deyeri ile sorğu"</t>
  </si>
  <si>
    <t xml:space="preserve">Etibarsız sort deyeri ile sorğu</t>
  </si>
  <si>
    <t xml:space="preserve">TC-API-102-05</t>
  </si>
  <si>
    <t xml:space="preserve">gradListBeneficiaries.spec / "Valyuta filtri - yalnız USD alıcılar"</t>
  </si>
  <si>
    <t xml:space="preserve">Valyuta filtri - yalnız USD alıcılar</t>
  </si>
  <si>
    <t xml:space="preserve">1) Post /auth/login — body: {"email":"user1@test.com","password":"User1234"}
2) Post /beneficiaries — body: {"fullName":"Kamran Huseynov","iban":"AZ11NABZ00000000137010009111","nickname":"USDTest...
3) Post /beneficiaries — body: {"fullName":"Elvin Qasimov","iban":"AZ22NABZ00000000137010009222","nickname":"AZNTest1"...
4) ? /beneficiaries</t>
  </si>
  <si>
    <t xml:space="preserve">{"fullName":"Elvin Qasimov","iban":"AZ22NABZ00000000137010009222","nickname":"AZNTest1","currency":"AZN"}</t>
  </si>
  <si>
    <t xml:space="preserve">TC-API-102-06</t>
  </si>
  <si>
    <t xml:space="preserve">gradListBeneficiaries.spec / "Parametrsiz siyahı - defolt sıralama yeni-ucdan"</t>
  </si>
  <si>
    <t xml:space="preserve">Parametrsiz siyahı - defolt sıralama yeni-ucdan</t>
  </si>
  <si>
    <t xml:space="preserve">1) Post /auth/login — body: {"email":"user1@test.com","password":"User1234"}
2) Post /beneficiaries — body: {"fullName":"Tahir Aliyev","iban":"AZ41NABZ00000000137010009441","nickname":"Birinci","...
3) Post /beneficiaries — body: {"fullName":"Samir Nasirov","iban":"AZ42NABZ00000000137010009442","nickname":"Ikinci","...
4) Get /beneficiaries</t>
  </si>
  <si>
    <t xml:space="preserve">{"fullName":"Samir Nasirov","iban":"AZ42NABZ00000000137010009442","nickname":"Ikinci","currency":"AZN"}</t>
  </si>
  <si>
    <t xml:space="preserve">Status=200; total=2; items[0].nickname=Ikinci</t>
  </si>
  <si>
    <t xml:space="preserve">TC-API-102-07</t>
  </si>
  <si>
    <t xml:space="preserve">gradListBeneficiaries.spec / "Adla sıralama - əlifba sırası ilə (asc)"</t>
  </si>
  <si>
    <t xml:space="preserve">Adla sıralama - əlifba sırası ilə (asc)</t>
  </si>
  <si>
    <t xml:space="preserve">1) Post /auth/login — body: {"email":"user1@test.com","password":"User1234"}
2) Post /beneficiaries — body: {"fullName":"Cavid Aliyev","iban":"AZ51NABZ00000000137010009551","nickname":"SortTest1"...
3) Post /beneficiaries — body: {"fullName":"Araz Huseynov","iban":"AZ52NABZ00000000137010009552","nickname":"SortTest2...
4) Post /beneficiaries — body: {"fullName":"Baba Mammadov","iban":"AZ53NABZ00000000137010009553","nickname":"SortTest3...
5) Get /beneficiaries</t>
  </si>
  <si>
    <t xml:space="preserve">{"fullName":"Baba Mammadov","iban":"AZ53NABZ00000000137010009553","nickname":"SortTest3","currency":"AZN"}</t>
  </si>
  <si>
    <t xml:space="preserve">Status=200</t>
  </si>
  <si>
    <t xml:space="preserve">TC-API-102-08</t>
  </si>
  <si>
    <t xml:space="preserve">gradListBeneficiaries.spec / "Case-folding axtarış - İ/I herf problemi"</t>
  </si>
  <si>
    <t xml:space="preserve">Case-folding axtarış - İ/I herf problemi</t>
  </si>
  <si>
    <t xml:space="preserve">1) Post /auth/login — body: {"email":"user1@test.com","password":"User1234"}
2) Post /beneficiaries — body: {"fullName":"Nigar Əliyeva","iban":"AZ61NABZ00000000137010009661","nickname":"NigarTest...
3) Get /beneficiaries
4) Get /beneficiaries</t>
  </si>
  <si>
    <t xml:space="preserve">{"fullName":"Nigar Əliyeva","iban":"AZ61NABZ00000000137010009661","nickname":"NigarTest","currency":"AZN"}</t>
  </si>
  <si>
    <t xml:space="preserve">TC-API-102-09</t>
  </si>
  <si>
    <t xml:space="preserve">gradListBeneficiaries.spec / "SQL-injection payload - q parametrinde"</t>
  </si>
  <si>
    <t xml:space="preserve">SQL-injection payload - q parametrinde</t>
  </si>
  <si>
    <t xml:space="preserve">TC-API-102-10</t>
  </si>
  <si>
    <t xml:space="preserve">gradListBeneficiaries.spec / "Kombinə edilmiş filtrlər - q+currency+sort+order"</t>
  </si>
  <si>
    <t xml:space="preserve">Kombinə edilmiş filtrlər - q+currency+sort+order</t>
  </si>
  <si>
    <t xml:space="preserve">1) Post /auth/login — body: {"email":"user1@test.com","password":"User1234"}
2) Post /beneficiaries — body: {"fullName":"Nigar Mammadova","iban":"AZ71NABZ00000000137010009771","nickname":"ComboMa...
3) Post /beneficiaries — body: {"fullName":"Nigar Huseynova","iban":"AZ72NABZ00000000137010009772","nickname":"ComboNo...
4) Get /beneficiaries</t>
  </si>
  <si>
    <t xml:space="preserve">{"fullName":"Nigar Huseynova","iban":"AZ72NABZ00000000137010009772","nickname":"ComboNoMatch","currency":"USD"}</t>
  </si>
  <si>
    <t xml:space="preserve">Status=200; total=1; items[0].currency=AZN</t>
  </si>
  <si>
    <t xml:space="preserve">TC-API-102-11</t>
  </si>
  <si>
    <t xml:space="preserve">gradListBeneficiaries.spec / "Ləqəbin bir hissəsi ile axtarış"</t>
  </si>
  <si>
    <t xml:space="preserve">Ləqəbin bir hissəsi ile axtarış</t>
  </si>
  <si>
    <t xml:space="preserve">1) Post /auth/login — body: {"email":"user1@test.com","password":"User1234"}
2) Post /beneficiaries — body: {"fullName":"Anar Mammadov","iban":"AZ33NABZ00000000137010009333","nickname":"Anam","cu...
3) Get /beneficiaries</t>
  </si>
  <si>
    <t xml:space="preserve">{"fullName":"Anar Mammadov","iban":"AZ33NABZ00000000137010009333","nickname":"Anam","currency":"AZN"}</t>
  </si>
  <si>
    <t xml:space="preserve">TC-API-103-01</t>
  </si>
  <si>
    <t xml:space="preserve">gradDeleteBeneficiary.spec / "Movcud alicini silmek"</t>
  </si>
  <si>
    <t xml:space="preserve">Movcud alicini silmek</t>
  </si>
  <si>
    <t xml:space="preserve">1) Post /auth/login — body: {"email":"user1@test.com","password":"User1234"}
2) Post /beneficiaries — body: {"fullName":"Sil Meni","iban":"AZ81NABZ00000000137010009881","nickname":"SilTest1","cur...
3) Delete /beneficiaries/${benId}</t>
  </si>
  <si>
    <t xml:space="preserve">{"fullName":"Sil Meni","iban":"AZ81NABZ00000000137010009881","nickname":"SilTest1","currency":"AZN"}</t>
  </si>
  <si>
    <t xml:space="preserve">Status=204</t>
  </si>
  <si>
    <t xml:space="preserve">TC-API-103-02</t>
  </si>
  <si>
    <t xml:space="preserve">gradDeleteBeneficiary.spec / "Silinmiş alıcı siyahıda görünmür"</t>
  </si>
  <si>
    <t xml:space="preserve">Silinmiş alıcı siyahıda görünmür</t>
  </si>
  <si>
    <t xml:space="preserve">1) Post /auth/login — body: {"email":"user1@test.com","password":"User1234"}
2) Post /beneficiaries — body: {"fullName":"Qalacaq Alici","iban":"AZ82NABZ00000000137010009882","nickname":"QalacaqTe...
3) Post /beneficiaries — body: {"fullName":"Silinecek Alici","iban":"AZ83NABZ00000000137010009883","nickname":"Silinec...
4) Delete /beneficiaries/${deleteId}
5) Get /beneficiaries</t>
  </si>
  <si>
    <t xml:space="preserve">{"fullName":"Silinecek Alici","iban":"AZ83NABZ00000000137010009883","nickname":"SilinecekTest","currency":"AZN"}</t>
  </si>
  <si>
    <t xml:space="preserve">Status=200; total=1</t>
  </si>
  <si>
    <t xml:space="preserve">TC-API-103-03</t>
  </si>
  <si>
    <t xml:space="preserve">gradDeleteBeneficiary.spec / "Eyni id ikinci defe silinir"</t>
  </si>
  <si>
    <t xml:space="preserve">Eyni id ikinci defe silinir</t>
  </si>
  <si>
    <t xml:space="preserve">1) Post /auth/login — body: {"email":"user1@test.com","password":"User1234"}
2) Post /beneficiaries — body: {"fullName":"Iki Defe Sil","iban":"AZ84NABZ00000000137010009884","nickname":"IkiDefeTes...
3) Delete /beneficiaries/${benId}
4) Delete /beneficiaries/${benId}</t>
  </si>
  <si>
    <t xml:space="preserve">{"fullName":"Iki Defe Sil","iban":"AZ84NABZ00000000137010009884","nickname":"IkiDefeTest","currency":"AZN"}</t>
  </si>
  <si>
    <t xml:space="preserve">Status=404</t>
  </si>
  <si>
    <t xml:space="preserve">TC-API-103-04</t>
  </si>
  <si>
    <t xml:space="preserve">gradDeleteBeneficiary.spec / "Token olmadan DELETE sorğusu"</t>
  </si>
  <si>
    <t xml:space="preserve">Token olmadan DELETE sorğusu</t>
  </si>
  <si>
    <t xml:space="preserve">1) Delete /beneficiaries/ben_placeholder123</t>
  </si>
  <si>
    <t xml:space="preserve">TC-API-103-05</t>
  </si>
  <si>
    <t xml:space="preserve">gradDeleteBeneficiary.spec / "Movcud olmayan id ile DELETE"</t>
  </si>
  <si>
    <t xml:space="preserve">Movcud olmayan id ile DELETE</t>
  </si>
  <si>
    <t xml:space="preserve">1) Post /auth/login — body: {"email":"user1@test.com","password":"User1234"}
2) Delete /beneficiaries/xyz_notreal</t>
  </si>
  <si>
    <t xml:space="preserve">TC-API-103-06</t>
  </si>
  <si>
    <t xml:space="preserve">gradDeleteBeneficiary.spec / "Başqa istifadəçinin alıcısını silmək (IDOR)"</t>
  </si>
  <si>
    <t xml:space="preserve">Başqa istifadəçinin alıcısını silmək (IDOR)</t>
  </si>
  <si>
    <t xml:space="preserve">1) Post /auth/login — body: {"email":"user1@test.com","password":"User1234"}
2) Post /beneficiaries — body: {"fullName":"Birinci Istifadeci Alicisi","iban":"AZ85NABZ00000000137010009885","nicknam...
3) Post /auth/login — body: {"email":"user2@test.com","password":"User1234"}
4) Delete /beneficiaries/${user1BenId}</t>
  </si>
  <si>
    <t xml:space="preserve">{"email":"user2@test.com","password":"User1234"}</t>
  </si>
  <si>
    <t xml:space="preserve">Status=404; code=NOT_FOUND</t>
  </si>
  <si>
    <t xml:space="preserve">TC-API-201-01</t>
  </si>
  <si>
    <t xml:space="preserve">gradCreateCard.spec / "Etibarlı kart buraxılışı"</t>
  </si>
  <si>
    <t xml:space="preserve">Etibarlı kart buraxılışı</t>
  </si>
  <si>
    <t xml:space="preserve">1) Post /auth/login — body: {"email":"user1@test.com","password":"User1234"}
2) Post /cards — body: {"accountId":"acc_002","initialAmount":100,"label":"Test Card"}</t>
  </si>
  <si>
    <t xml:space="preserve">{"accountId":"acc_002","initialAmount":100,"label":"Test Card"}</t>
  </si>
  <si>
    <t xml:space="preserve">Status=201; accountId=acc_002; status=ACTIVE; availableBalance=100; limits.dailyOnline=500; limits.perTransaction=300; spentToday=0; blockReason=null; id mövcuddur</t>
  </si>
  <si>
    <t xml:space="preserve">TC-API-201-02</t>
  </si>
  <si>
    <t xml:space="preserve">gradCreateCard.spec / "maskedPan/expiry formatı"</t>
  </si>
  <si>
    <t xml:space="preserve">maskedPan/expiry formatı</t>
  </si>
  <si>
    <t xml:space="preserve">1) Post /auth/login — body: {"email":"user1@test.com","password":"User1234"}
2) Post /cards — body: {"accountId":"acc_002","initialAmount":50}</t>
  </si>
  <si>
    <t xml:space="preserve">{"accountId":"acc_002","initialAmount":50}</t>
  </si>
  <si>
    <t xml:space="preserve">TC-API-201-03</t>
  </si>
  <si>
    <t xml:space="preserve">gradCreateCard.spec / "initialAmount sərhədi (BVA)"</t>
  </si>
  <si>
    <t xml:space="preserve">initialAmount sərhədi (BVA)</t>
  </si>
  <si>
    <t xml:space="preserve">1) Post /auth/login — body: {"email":"user1@test.com","password":"User1234"}
2) Post /cards — body: {"accountId":"acc_002","initialAmount":0.99}
3) Post /cards — body: {"accountId":"acc_002","initialAmount":1.00}
4) Post /cards — body: {"accountId":"acc_002","initialAmount":1000.01}
5) Post /cards — body: {"accountId":"acc_002","initialAmount":1000.00}</t>
  </si>
  <si>
    <t xml:space="preserve">{"accountId":"acc_002","initialAmount":1000.00}</t>
  </si>
  <si>
    <t xml:space="preserve">TC-API-201-04</t>
  </si>
  <si>
    <t xml:space="preserve">gradCreateCard.spec / "initialAmount format xətaları"</t>
  </si>
  <si>
    <t xml:space="preserve">initialAmount format xətaları</t>
  </si>
  <si>
    <t xml:space="preserve">1) Post /auth/login — body: {"email":"user1@test.com","password":"User1234"}
2) Post /cards — body: {"accountId":"acc_002","initialAmount":"50"}
3) Post /cards — body: {"accountId":"acc_002","initialAmount":10.555}</t>
  </si>
  <si>
    <t xml:space="preserve">{"accountId":"acc_002","initialAmount":10.555}</t>
  </si>
  <si>
    <t xml:space="preserve">TC-API-201-05</t>
  </si>
  <si>
    <t xml:space="preserve">gradCreateCard.spec / "Başqasının hesabı ilə kart açmaq"</t>
  </si>
  <si>
    <t xml:space="preserve">Başqasının hesabı ilə kart açmaq</t>
  </si>
  <si>
    <t xml:space="preserve">1) Post /auth/login — body: {"email":"user1@test.com","password":"User1234"}
2) Post /cards — body: {"accountId":"acc_003","initialAmount":50}</t>
  </si>
  <si>
    <t xml:space="preserve">{"accountId":"acc_003","initialAmount":50}</t>
  </si>
  <si>
    <t xml:space="preserve">Status=403</t>
  </si>
  <si>
    <t xml:space="preserve">TC-API-201-06</t>
  </si>
  <si>
    <t xml:space="preserve">gradCreateCard.spec / "Kart limiti (3) aşılır"</t>
  </si>
  <si>
    <t xml:space="preserve">Kart limiti (3) aşılır</t>
  </si>
  <si>
    <t xml:space="preserve">1) Post /auth/login — body: {"email":"user1@test.com","password":"User1234"}
2) Post /cards — body: {"accountId":"acc_002","initialAmount":50}
3) Post /cards — body: {"accountId":"acc_002","initialAmount":50}
4) Post /cards — body: {"accountId":"acc_002","initialAmount":50}
5) Post /cards — body: {"accountId":"acc_002","initialAmount":50}</t>
  </si>
  <si>
    <t xml:space="preserve">Status=422; code=CARD_LIMIT_REACHED</t>
  </si>
  <si>
    <t xml:space="preserve">TC-API-201-07</t>
  </si>
  <si>
    <t xml:space="preserve">gradCreateCard.spec / "Mövcud olmayan accountId"</t>
  </si>
  <si>
    <t xml:space="preserve">Mövcud olmayan accountId</t>
  </si>
  <si>
    <t xml:space="preserve">1) Post /auth/login — body: {"email":"user1@test.com","password":"User1234"}
2) Post /cards — body: {"accountId":"acc_999","initialAmount":50}</t>
  </si>
  <si>
    <t xml:space="preserve">{"accountId":"acc_999","initialAmount":50}</t>
  </si>
  <si>
    <t xml:space="preserve">TC-API-201-08</t>
  </si>
  <si>
    <t xml:space="preserve">gradCreateCard.spec / "Token yoxdur"</t>
  </si>
  <si>
    <t xml:space="preserve">Token yoxdur</t>
  </si>
  <si>
    <t xml:space="preserve">1) Post /cards — body: {"accountId":"acc_002","initialAmount":50}</t>
  </si>
  <si>
    <t xml:space="preserve">TC-API-201-09</t>
  </si>
  <si>
    <t xml:space="preserve">gradCreateCard.spec / "Saxta token"</t>
  </si>
  <si>
    <t xml:space="preserve">Saxta token</t>
  </si>
  <si>
    <t xml:space="preserve">TC-API-201-10</t>
  </si>
  <si>
    <t xml:space="preserve">gradCreateCard.spec / "XSS payload - label"</t>
  </si>
  <si>
    <t xml:space="preserve">XSS payload - label</t>
  </si>
  <si>
    <t xml:space="preserve">1) Post /auth/login — body: {"email":"user1@test.com","password":"User1234"}
2) Post /cards — body: {"accountId":"acc_002","initialAmount":50,"label":"&lt;script&gt;alert(1)&lt;/script&gt;"}</t>
  </si>
  <si>
    <t xml:space="preserve">{"accountId":"acc_002","initialAmount":50,"label":"&lt;script&gt;alert(1)&lt;/script&gt;"}</t>
  </si>
  <si>
    <t xml:space="preserve">Status=201; label=&lt;script&gt;alert(1)&lt;/script&gt;</t>
  </si>
  <si>
    <t xml:space="preserve">TC-API-201-11</t>
  </si>
  <si>
    <t xml:space="preserve">gradCreateCard.spec / "label göndərilmədikdə null"</t>
  </si>
  <si>
    <t xml:space="preserve">label göndərilmədikdə null</t>
  </si>
  <si>
    <t xml:space="preserve">Status=201; label=null</t>
  </si>
  <si>
    <t xml:space="preserve">TC-API-202-01</t>
  </si>
  <si>
    <t xml:space="preserve">gradGetCard.spec / "46. Yeni buraxılmış kartın məlumatı"</t>
  </si>
  <si>
    <t xml:space="preserve">46. Yeni buraxılmış kartın məlumatı</t>
  </si>
  <si>
    <t xml:space="preserve">1) Post /auth/login — body: {"email":"user1@test.com","password":"User1234"}
2) Post /cards — body: {"accountId":"acc_002","initialAmount":100,"label":"Test Card"}
3) Get /cards/${cardId}</t>
  </si>
  <si>
    <t xml:space="preserve">Status=200; accountId=acc_002; status=ACTIVE; availableBalance=100; limits.dailyOnline=500; limits.perTransaction=300; spentToday=0; blockReason=null; id mövcuddur</t>
  </si>
  <si>
    <t xml:space="preserve">TC-API-202-02</t>
  </si>
  <si>
    <t xml:space="preserve">gradGetCard.spec / "47. Ödənişdən sonra balansın düzgün əks olunması"</t>
  </si>
  <si>
    <t xml:space="preserve">47. Ödənişdən sonra balansın düzgün əks olunması</t>
  </si>
  <si>
    <t xml:space="preserve">1) Post /auth/login — body: {"email":"user1@test.com","password":"User1234"}
2) Post /cards — body: {"accountId":"acc_002","initialAmount":100}
3) Post /bill-payments — body: {"cardId":"${cardId}","billerId":"citynet","subscriberNo":"CN123456","amount":50}
4) Get /cards/${cardId}</t>
  </si>
  <si>
    <t xml:space="preserve">{"cardId":"${cardId}","billerId":"citynet","subscriberNo":"CN123456","amount":50}</t>
  </si>
  <si>
    <t xml:space="preserve">Status=200; availableBalance=49.5</t>
  </si>
  <si>
    <t xml:space="preserve">TC-API-202-03</t>
  </si>
  <si>
    <t xml:space="preserve">gradGetCard.spec / "48. Başqa istifadəçinin kartına GET cəhdi (IDOR)"</t>
  </si>
  <si>
    <t xml:space="preserve">48. Başqa istifadəçinin kartına GET cəhdi (IDOR)</t>
  </si>
  <si>
    <t xml:space="preserve">1) Post /auth/login — body: {"email":"user1@test.com","password":"User1234"}
2) Post /cards — body: {"accountId":"acc_002","initialAmount":100}
3) Post /auth/login — body: {"email":"user2@test.com","password":"User1234"}
4) Get /cards/${cardId}</t>
  </si>
  <si>
    <t xml:space="preserve">TC-API-202-04</t>
  </si>
  <si>
    <t xml:space="preserve">gradGetCard.spec / "49. Token yoxdur/etibarsızdır"</t>
  </si>
  <si>
    <t xml:space="preserve">49. Token yoxdur/etibarsızdır</t>
  </si>
  <si>
    <t xml:space="preserve">1) Get /cards/vcd_notreal</t>
  </si>
  <si>
    <t xml:space="preserve">TC-API-202-05</t>
  </si>
  <si>
    <t xml:space="preserve">gradGetCard.spec / "50. Mövcud olmayan kart id"</t>
  </si>
  <si>
    <t xml:space="preserve">50. Mövcud olmayan kart id</t>
  </si>
  <si>
    <t xml:space="preserve">1) Post /auth/login — body: {"email":"user1@test.com","password":"User1234"}
2) Get /cards/vcd_notreal</t>
  </si>
  <si>
    <t xml:space="preserve">TC-API-203-01</t>
  </si>
  <si>
    <t xml:space="preserve">gradBlockCard.spec / "51. ACTIVE kart, TEMPORARY səbəbi ilə dondurulur"</t>
  </si>
  <si>
    <t xml:space="preserve">51. ACTIVE kart, TEMPORARY səbəbi ilə dondurulur</t>
  </si>
  <si>
    <t xml:space="preserve">Yüksək</t>
  </si>
  <si>
    <t xml:space="preserve">1) Post /auth/login — body: {"email":"user1@test.com","password":"User1234"}
2) Post /cards — body: {"accountId":"acc_002","initialAmount":100}
3) Post /cards/${cardId}/block — body: {"reason":"TEMPORARY"}</t>
  </si>
  <si>
    <t xml:space="preserve">{"reason":"TEMPORARY"}</t>
  </si>
  <si>
    <t xml:space="preserve">Status=200; status=FROZEN; blockReason=TEMPORARY; blockedAt mövcuddur</t>
  </si>
  <si>
    <t xml:space="preserve">TC-API-203-02</t>
  </si>
  <si>
    <t xml:space="preserve">gradBlockCard.spec / "52. ACTIVE kart, LOST səbəbi ilə həmişəlik bloklanır"</t>
  </si>
  <si>
    <t xml:space="preserve">52. ACTIVE kart, LOST səbəbi ilə həmişəlik bloklanır</t>
  </si>
  <si>
    <t xml:space="preserve">1) Post /auth/login — body: {"email":"user1@test.com","password":"User1234"}
2) Post /cards — body: {"accountId":"acc_002","initialAmount":100}
3) Post /cards/${cardId}/block — body: {"reason":"LOST"}</t>
  </si>
  <si>
    <t xml:space="preserve">{"reason":"LOST"}</t>
  </si>
  <si>
    <t xml:space="preserve">Status=200; status=BLOCKED</t>
  </si>
  <si>
    <t xml:space="preserve">TC-API-203-03</t>
  </si>
  <si>
    <t xml:space="preserve">gradBlockCard.spec / "53. FROZEN kart, STOLEN səbəbi ilə BLOCKED-ə keçir (eskalasiya)"</t>
  </si>
  <si>
    <t xml:space="preserve">53. FROZEN kart, STOLEN səbəbi ilə BLOCKED-ə keçir (eskalasiya)</t>
  </si>
  <si>
    <t xml:space="preserve">1) Post /auth/login — body: {"email":"user1@test.com","password":"User1234"}
2) Post /cards — body: {"accountId":"acc_002","initialAmount":100}
3) Post /cards/${cardId}/block — body: {"reason":"TEMPORARY"}
4) Post /cards/${cardId}/block — body: {"reason":"STOLEN"}</t>
  </si>
  <si>
    <t xml:space="preserve">{"reason":"STOLEN"}</t>
  </si>
  <si>
    <t xml:space="preserve">Status=200; status=FROZEN; status=BLOCKED</t>
  </si>
  <si>
    <t xml:space="preserve">TC-API-203-04</t>
  </si>
  <si>
    <t xml:space="preserve">gradBlockCard.spec / "54. FROZEN kart yenidən TEMPORARY ilə dondurulmaq istənir"</t>
  </si>
  <si>
    <t xml:space="preserve">54. FROZEN kart yenidən TEMPORARY ilə dondurulmaq istənir</t>
  </si>
  <si>
    <t xml:space="preserve">1) Post /auth/login — body: {"email":"user1@test.com","password":"User1234"}
2) Post /cards — body: {"accountId":"acc_002","initialAmount":100}
3) Post /cards/${cardId}/block — body: {"reason":"TEMPORARY"}
4) Post /cards/${cardId}/block — body: {"reason":"TEMPORARY"}</t>
  </si>
  <si>
    <t xml:space="preserve">Status=409; code=ALREADY_FROZEN</t>
  </si>
  <si>
    <t xml:space="preserve">TC-API-203-05</t>
  </si>
  <si>
    <t xml:space="preserve">gradBlockCard.spec / "55. BLOCKED kart yenidən bloklanmaq istənir"</t>
  </si>
  <si>
    <t xml:space="preserve">55. BLOCKED kart yenidən bloklanmaq istənir</t>
  </si>
  <si>
    <t xml:space="preserve">1) Post /auth/login — body: {"email":"user1@test.com","password":"User1234"}
2) Post /cards — body: {"accountId":"acc_002","initialAmount":100}
3) Post /cards/${cardId}/block — body: {"reason":"LOST"}
4) Post /cards/${cardId}/block — body: {"reason":"STOLEN"}</t>
  </si>
  <si>
    <t xml:space="preserve">Status=409; status=BLOCKED; code=CARD_BLOCKED</t>
  </si>
  <si>
    <t xml:space="preserve">TC-API-203-06</t>
  </si>
  <si>
    <t xml:space="preserve">gradBlockCard.spec / "56. Yanlış reason dəyəri"</t>
  </si>
  <si>
    <t xml:space="preserve">56. Yanlış reason dəyəri</t>
  </si>
  <si>
    <t xml:space="preserve">1) Post /auth/login — body: {"email":"user1@test.com","password":"User1234"}
2) Post /cards — body: {"accountId":"acc_002","initialAmount":100}
3) Post /cards/${cardId}/block — body: {"reason":"BROKEN"}</t>
  </si>
  <si>
    <t xml:space="preserve">{"reason":"BROKEN"}</t>
  </si>
  <si>
    <t xml:space="preserve">TC-API-203-07</t>
  </si>
  <si>
    <t xml:space="preserve">gradBlockCard.spec / "57. reason göndərilmir"</t>
  </si>
  <si>
    <t xml:space="preserve">57. reason göndərilmir</t>
  </si>
  <si>
    <t xml:space="preserve">1) Post /auth/login — body: {"email":"user1@test.com","password":"User1234"}
2) Post /cards — body: {"accountId":"acc_002","initialAmount":100}
3) Post /cards/${cardId}/block — body: {}</t>
  </si>
  <si>
    <t xml:space="preserve">{}</t>
  </si>
  <si>
    <t xml:space="preserve">TC-API-203-08</t>
  </si>
  <si>
    <t xml:space="preserve">gradBlockCard.spec / "58. Token yoxdur/etibarsızdır"</t>
  </si>
  <si>
    <t xml:space="preserve">58. Token yoxdur/etibarsızdır</t>
  </si>
  <si>
    <t xml:space="preserve">1) Post /cards/vcd_notreal/block — body: {"reason":"TEMPORARY"}</t>
  </si>
  <si>
    <t xml:space="preserve">TC-API-203-09</t>
  </si>
  <si>
    <t xml:space="preserve">gradBlockCard.spec / "59. Mövcud olmayan kart id"</t>
  </si>
  <si>
    <t xml:space="preserve">59. Mövcud olmayan kart id</t>
  </si>
  <si>
    <t xml:space="preserve">1) Post /auth/login — body: {"email":"user1@test.com","password":"User1234"}
2) Post /cards/vcd_notreal/block — body: {"reason":"TEMPORARY"}</t>
  </si>
  <si>
    <t xml:space="preserve">TC-API-204-01</t>
  </si>
  <si>
    <t xml:space="preserve">gradUnblockCard.spec / "60. FROZEN kart unblock edilir"</t>
  </si>
  <si>
    <t xml:space="preserve">60. FROZEN kart unblock edilir</t>
  </si>
  <si>
    <t xml:space="preserve">1) Post /auth/login — body: {"email":"user1@test.com","password":"User1234"}
2) Post /cards — body: {"accountId":"acc_002","initialAmount":100}
3) Post /cards/${cardId}/block — body: {"reason":"TEMPORARY"}
4) Post /cards/${cardId}/unblock</t>
  </si>
  <si>
    <t xml:space="preserve">Status=200; status=FROZEN; status=ACTIVE; blockReason=null; blockedAt=null</t>
  </si>
  <si>
    <t xml:space="preserve">TC-API-204-02</t>
  </si>
  <si>
    <t xml:space="preserve">gradUnblockCard.spec / "61. ACTIVE kart unblock edilir (hələ dondurulmayıb)"</t>
  </si>
  <si>
    <t xml:space="preserve">61. ACTIVE kart unblock edilir (hələ dondurulmayıb)</t>
  </si>
  <si>
    <t xml:space="preserve">1) Post /auth/login — body: {"email":"user1@test.com","password":"User1234"}
2) Post /cards — body: {"accountId":"acc_002","initialAmount":100}
3) Post /cards/${cardId}/unblock</t>
  </si>
  <si>
    <t xml:space="preserve">{"accountId":"acc_002","initialAmount":100}</t>
  </si>
  <si>
    <t xml:space="preserve">Status=409; code=NOT_FROZEN</t>
  </si>
  <si>
    <t xml:space="preserve">TC-API-204-03</t>
  </si>
  <si>
    <t xml:space="preserve">gradUnblockCard.spec / "62. BLOCKED kart unblock edilir"</t>
  </si>
  <si>
    <t xml:space="preserve">62. BLOCKED kart unblock edilir</t>
  </si>
  <si>
    <t xml:space="preserve">1) Post /auth/login — body: {"email":"user1@test.com","password":"User1234"}
2) Post /cards — body: {"accountId":"acc_002","initialAmount":100}
3) Post /cards/${cardId}/block — body: {"reason":"LOST"}
4) Post /cards/${cardId}/unblock</t>
  </si>
  <si>
    <t xml:space="preserve">Status=409; status=BLOCKED; code=PERMANENTLY_BLOCKED</t>
  </si>
  <si>
    <t xml:space="preserve">TC-API-204-04</t>
  </si>
  <si>
    <t xml:space="preserve">gradUnblockCard.spec / "63. Token yoxdur/etibarsızdır"</t>
  </si>
  <si>
    <t xml:space="preserve">63. Token yoxdur/etibarsızdır</t>
  </si>
  <si>
    <t xml:space="preserve">1) Post /cards/vcd_notreal/unblock</t>
  </si>
  <si>
    <t xml:space="preserve">TC-API-204-05</t>
  </si>
  <si>
    <t xml:space="preserve">gradUnblockCard.spec / "64. Mövcud olmayan kart id"</t>
  </si>
  <si>
    <t xml:space="preserve">64. Mövcud olmayan kart id</t>
  </si>
  <si>
    <t xml:space="preserve">1) Post /auth/login — body: {"email":"user1@test.com","password":"User1234"}
2) Post /cards/vcd_notreal/unblock</t>
  </si>
  <si>
    <t xml:space="preserve">TC-API-301-01</t>
  </si>
  <si>
    <t xml:space="preserve">gradBillersList.spec / "65. Parametrsiz sorğu — bütün billerlər qaytarılır"</t>
  </si>
  <si>
    <t xml:space="preserve">65. Parametrsiz sorğu — bütün billerlər qaytarılır</t>
  </si>
  <si>
    <t xml:space="preserve">1) Post /auth/login — body: {"email":"user1@test.com","password":"User1234"}
2) Get /billers</t>
  </si>
  <si>
    <t xml:space="preserve">Status=200; total=6; items.find{it.id=='azerisiq'}.category=UTILITY; items.find{it.id=='azerisiq'}.minAmount=1; items.find{it.id=='azerisiq'}.maxAmount=500; items.find{it.id=='azerisiq'}.fee.type=NONE; items.find{it.id=='azerisiq'}.subscriberPattern=^\\d{10}$; items.find{it.id=='azersu'}.category=UTILITY; items.find{it.id=='azersu'}.minAmount=1; items.find{it.id=='azersu'}.maxAmount=300; items.find{it.id=='azersu'}.fee.type=NONE; items.find{it.id=='azersu'}.subscriberPattern=^\\d{8}$; items.find{it.id=='azercell'}.category=MOBILE; items.find{it.id=='azercell'}.minAmount=0.5; items.find{it.id=='azercell'}.maxAmount=200; items.find{it.id=='azercell'}.fee.type=NONE; items.find{it.id=='azercell'}.subscriberPattern=^(50|51|10)\\d{7}$; items.find{it.id=='bakcell'}.category=MOBILE; items.find{it.id=='bakcell'}.minAmount=0.5; items.find{it.id=='bakcell'}.maxAmount=200; items.find{it.id=='bakcell'}.fee.type=NONE; items.find{it.id=='bakcell'}.subscriberPattern=^(55|99)\\d{7}$; items.find{it.id=='citynet'}.category=INTERNET; items.find{it.id=='citynet'}.minAmount=5; items.find{it.id=='citynet'}.maxAmount=150; items.find{it.id=='citynet'}.fee.type=PERCENT; items.find{it.id=='citynet'}.fee.value=1; items.find{it.id=='citynet'}.fee.min=0.2; items.find{it.id=='citynet'}.fee.max=2; items.find{it.id=='citynet'}.subscriberPattern=^CN\\d{6}$; items.find{it.id=='aztelekom'}.category=INTERNET; items.find{it.id=='aztelekom'}.minAmount=2; items.find{it.id=='aztelekom'}.maxAmount=100; items.find{it.id=='aztelekom'}.fee.type=FIXED; items.find{it.id=='aztelekom'}.fee.value=0.5; items.find{it.id=='aztelekom'}.subscriberPattern=^\\d{7}$</t>
  </si>
  <si>
    <t xml:space="preserve">TC-API-301-02</t>
  </si>
  <si>
    <t xml:space="preserve">gradBillersList.spec / "66. category=MOBILE filtri"</t>
  </si>
  <si>
    <t xml:space="preserve">66. category=MOBILE filtri</t>
  </si>
  <si>
    <t xml:space="preserve">1) Post /auth/login — body: {"email":"user1@test.com","password":"User1234"}
2) Get /billers?category=MOBILE</t>
  </si>
  <si>
    <t xml:space="preserve">Status=200; total=2</t>
  </si>
  <si>
    <t xml:space="preserve">TC-API-301-03</t>
  </si>
  <si>
    <t xml:space="preserve">gradBillersList.spec / "67. category=INTERNET filtri"</t>
  </si>
  <si>
    <t xml:space="preserve">67. category=INTERNET filtri</t>
  </si>
  <si>
    <t xml:space="preserve">1) Post /auth/login — body: {"email":"user1@test.com","password":"User1234"}
2) Get /billers?category=INTERNET</t>
  </si>
  <si>
    <t xml:space="preserve">TC-API-301-04</t>
  </si>
  <si>
    <t xml:space="preserve">gradBillersList.spec / "68. Yanlış category dəyəri"</t>
  </si>
  <si>
    <t xml:space="preserve">68. Yanlış category dəyəri</t>
  </si>
  <si>
    <t xml:space="preserve">1) Post /auth/login — body: {"email":"user1@test.com","password":"User1234"}
2) Get /billers?category=GAS</t>
  </si>
  <si>
    <t xml:space="preserve">TC-API-301-05</t>
  </si>
  <si>
    <t xml:space="preserve">gradBillersList.spec / "69. Token yoxdur/etibarsızdır"</t>
  </si>
  <si>
    <t xml:space="preserve">69. Token yoxdur/etibarsızdır</t>
  </si>
  <si>
    <t xml:space="preserve">1) Get /billers</t>
  </si>
  <si>
    <t xml:space="preserve">TC-API-302-01</t>
  </si>
  <si>
    <t xml:space="preserve">gradBillPayments.spec / "70. Etibarlı ödəniş — CityNet (faiz əsaslı komissiya)"</t>
  </si>
  <si>
    <t xml:space="preserve">70. Etibarlı ödəniş — CityNet (faiz əsaslı komissiya)</t>
  </si>
  <si>
    <t xml:space="preserve">1) Post /auth/login — body: {"email":"user1@test.com","password":"User1234"}
2) Post /cards — body: {"accountId":"acc_002","initialAmount":100}
3) Post /bill-payments — body: {"cardId":"${cardId}","billerId":"citynet","subscriberNo":"CN123456","amount":50}</t>
  </si>
  <si>
    <t xml:space="preserve">Status=201; status=SUCCESS; biller.id=citynet; subscriberNo=CN123456; amount=50; fee=0.5; total=50.5; currency=AZN; cardId=${cardId}; balanceAfter=49.5</t>
  </si>
  <si>
    <t xml:space="preserve">TC-API-302-02</t>
  </si>
  <si>
    <t xml:space="preserve">gradBillPayments.spec / "71. Aztelekom — sabit komissiya (0.50)"</t>
  </si>
  <si>
    <t xml:space="preserve">71. Aztelekom — sabit komissiya (0.50)</t>
  </si>
  <si>
    <t xml:space="preserve">1) Post /auth/login — body: {"email":"user1@test.com","password":"User1234"}
2) Post /cards — body: {"accountId":"acc_002","initialAmount":100}
3) Post /bill-payments — body: {"cardId":"${cardId}","billerId":"aztelekom","subscriberNo":"1234567","amount":10}</t>
  </si>
  <si>
    <t xml:space="preserve">{"cardId":"${cardId}","billerId":"aztelekom","subscriberNo":"1234567","amount":10}</t>
  </si>
  <si>
    <t xml:space="preserve">Status=201; fee=0.5; total=10.5</t>
  </si>
  <si>
    <t xml:space="preserve">TC-API-302-03</t>
  </si>
  <si>
    <t xml:space="preserve">gradBillPayments.spec / "72. Idempotency-Key header yoxdur"</t>
  </si>
  <si>
    <t xml:space="preserve">72. Idempotency-Key header yoxdur</t>
  </si>
  <si>
    <t xml:space="preserve">1) Post /auth/login — body: {"email":"user1@test.com","password":"User1234"}
2) Post /bill-payments — body: {"cardId":"vcd_fake","billerId":"citynet","subscriberNo":"CN123456","amount":50}</t>
  </si>
  <si>
    <t xml:space="preserve">{"cardId":"vcd_fake","billerId":"citynet","subscriberNo":"CN123456","amount":50}</t>
  </si>
  <si>
    <t xml:space="preserve">Status=400; code=IDEMPOTENCY_KEY_REQUIRED</t>
  </si>
  <si>
    <t xml:space="preserve">TC-API-302-04</t>
  </si>
  <si>
    <t xml:space="preserve">gradBillPayments.spec / "73. Idempotency-Key çox qısa"</t>
  </si>
  <si>
    <t xml:space="preserve">73. Idempotency-Key çox qısa</t>
  </si>
  <si>
    <t xml:space="preserve">Status=400; code=IDEMPOTENCY_KEY_INVALID</t>
  </si>
  <si>
    <t xml:space="preserve">TC-API-302-05</t>
  </si>
  <si>
    <t xml:space="preserve">gradBillPayments.spec / "74. Eyni Idempotency-Key + eyni body — təkrar göndərmə"</t>
  </si>
  <si>
    <t xml:space="preserve">74. Eyni Idempotency-Key + eyni body — təkrar göndərmə</t>
  </si>
  <si>
    <t xml:space="preserve">Pozitiv (Idempotency)</t>
  </si>
  <si>
    <t xml:space="preserve">1) Post /auth/login — body: {"email":"user1@test.com","password":"User1234"}
2) Post /cards — body: {"accountId":"acc_002","initialAmount":100}
3) Post /bill-payments — body: {"cardId":"${cardId}","billerId":"citynet","subscriberNo":"CN123456","amount":50}
4) Post /bill-payments — body: {"cardId":"${cardId}","billerId":"citynet","subscriberNo":"CN123456","amount":50}
5) Get /cards/${cardId}</t>
  </si>
  <si>
    <t xml:space="preserve">TC-API-302-06</t>
  </si>
  <si>
    <t xml:space="preserve">gradBillPayments.spec / "75. Eyni Idempotency-Key, fərqli body"</t>
  </si>
  <si>
    <t xml:space="preserve">75. Eyni Idempotency-Key, fərqli body</t>
  </si>
  <si>
    <t xml:space="preserve">1) Post /auth/login — body: {"email":"user1@test.com","password":"User1234"}
2) Post /cards — body: {"accountId":"acc_002","initialAmount":100}
3) Post /bill-payments — body: {"cardId":"${cardId}","billerId":"citynet","subscriberNo":"CN123456","amount":50}
4) Post /bill-payments — body: {"cardId":"${cardId}","billerId":"citynet","subscriberNo":"CN123456","amount":60}</t>
  </si>
  <si>
    <t xml:space="preserve">{"cardId":"${cardId}","billerId":"citynet","subscriberNo":"CN123456","amount":60}</t>
  </si>
  <si>
    <t xml:space="preserve">Status=409; code=IDEMPOTENCY_CONFLICT</t>
  </si>
  <si>
    <t xml:space="preserve">TC-API-302-07</t>
  </si>
  <si>
    <t xml:space="preserve">gradBillPayments.spec / "76. Mövcud olmayan billerId"</t>
  </si>
  <si>
    <t xml:space="preserve">76. Mövcud olmayan billerId</t>
  </si>
  <si>
    <t xml:space="preserve">1) Post /auth/login — body: {"email":"user1@test.com","password":"User1234"}
2) Post /cards — body: {"accountId":"acc_002","initialAmount":100}
3) Post /bill-payments — body: {"cardId":"${cardId}","billerId":"faketech","subscriberNo":"CN123456","amount":50}</t>
  </si>
  <si>
    <t xml:space="preserve">{"cardId":"${cardId}","billerId":"faketech","subscriberNo":"CN123456","amount":50}</t>
  </si>
  <si>
    <t xml:space="preserve">Status=404; code=BILLER_NOT_FOUND</t>
  </si>
  <si>
    <t xml:space="preserve">TC-API-302-08</t>
  </si>
  <si>
    <t xml:space="preserve">gradBillPayments.spec / "77. Mövcud olmayan cardId"</t>
  </si>
  <si>
    <t xml:space="preserve">77. Mövcud olmayan cardId</t>
  </si>
  <si>
    <t xml:space="preserve">1) Post /auth/login — body: {"email":"user1@test.com","password":"User1234"}
2) Post /bill-payments — body: {"cardId":"vcd_notreal","billerId":"citynet","subscriberNo":"CN123456","amount":50}</t>
  </si>
  <si>
    <t xml:space="preserve">{"cardId":"vcd_notreal","billerId":"citynet","subscriberNo":"CN123456","amount":50}</t>
  </si>
  <si>
    <t xml:space="preserve">Status=404; code=CARD_NOT_FOUND</t>
  </si>
  <si>
    <t xml:space="preserve">TC-API-302-09</t>
  </si>
  <si>
    <t xml:space="preserve">gradBillPayments.spec / "78. Token yoxdur/etibarsızdır"</t>
  </si>
  <si>
    <t xml:space="preserve">78. Token yoxdur/etibarsızdır</t>
  </si>
  <si>
    <t xml:space="preserve">1) Post /bill-payments — body: {"cardId":"vcd_fake","billerId":"citynet","subscriberNo":"CN123456","amount":50}</t>
  </si>
  <si>
    <t xml:space="preserve">TC-API-302-10</t>
  </si>
  <si>
    <t xml:space="preserve">gradBillPayments.spec / "79. amount mətn kimi göndərilir"</t>
  </si>
  <si>
    <t xml:space="preserve">79. amount mətn kimi göndərilir</t>
  </si>
  <si>
    <t xml:space="preserve">1) Post /auth/login — body: {"email":"user1@test.com","password":"User1234"}
2) Post /cards — body: {"accountId":"acc_002","initialAmount":100}
3) Post /bill-payments — body: {"cardId":"${cardId}","billerId":"citynet","subscriberNo":"CN123456","amount":"10"}</t>
  </si>
  <si>
    <t xml:space="preserve">{"cardId":"${cardId}","billerId":"citynet","subscriberNo":"CN123456","amount":"10"}</t>
  </si>
  <si>
    <t xml:space="preserve">TC-API-302-11</t>
  </si>
  <si>
    <t xml:space="preserve">gradBillPayments.spec / "80. Subscriber format uyğunsuzluğu — Azərişıq"</t>
  </si>
  <si>
    <t xml:space="preserve">80. Subscriber format uyğunsuzluğu — Azərişıq</t>
  </si>
  <si>
    <t xml:space="preserve">1) Post /auth/login — body: {"email":"user1@test.com","password":"User1234"}
2) Post /cards — body: {"accountId":"acc_002","initialAmount":100}
3) Post /bill-payments — body: {"cardId":"${cardId}","billerId":"azerisiq","subscriberNo":"123","amount":50}</t>
  </si>
  <si>
    <t xml:space="preserve">{"cardId":"${cardId}","billerId":"azerisiq","subscriberNo":"123","amount":50}</t>
  </si>
  <si>
    <t xml:space="preserve">Status=422; code=INVALID_SUBSCRIBER</t>
  </si>
  <si>
    <t xml:space="preserve">TC-API-302-12</t>
  </si>
  <si>
    <t xml:space="preserve">gradBillPayments.spec / "81. CityNet fee sərhədi — amount=5 (minimuma clamp)"</t>
  </si>
  <si>
    <t xml:space="preserve">81. CityNet fee sərhədi — amount=5 (minimuma clamp)</t>
  </si>
  <si>
    <t xml:space="preserve">Pozitiv (Fee hesablama)</t>
  </si>
  <si>
    <t xml:space="preserve">1) Post /auth/login — body: {"email":"user1@test.com","password":"User1234"}
2) Post /cards — body: {"accountId":"acc_002","initialAmount":100}
3) Post /bill-payments — body: {"cardId":"${cardId}","billerId":"citynet","subscriberNo":"CN123456","amount":5}</t>
  </si>
  <si>
    <t xml:space="preserve">{"cardId":"${cardId}","billerId":"citynet","subscriberNo":"CN123456","amount":5}</t>
  </si>
  <si>
    <t xml:space="preserve">Status=201; fee=0.2; total=5.2</t>
  </si>
  <si>
    <t xml:space="preserve">TC-API-302-13</t>
  </si>
  <si>
    <t xml:space="preserve">gradBillPayments.spec / "82. CityNet fee sərhədi — amount=20 (minimum dəqiq)"</t>
  </si>
  <si>
    <t xml:space="preserve">82. CityNet fee sərhədi — amount=20 (minimum dəqiq)</t>
  </si>
  <si>
    <t xml:space="preserve">1) Post /auth/login — body: {"email":"user1@test.com","password":"User1234"}
2) Post /cards — body: {"accountId":"acc_002","initialAmount":100}
3) Post /bill-payments — body: {"cardId":"${cardId}","billerId":"citynet","subscriberNo":"CN123456","amount":20}</t>
  </si>
  <si>
    <t xml:space="preserve">{"cardId":"${cardId}","billerId":"citynet","subscriberNo":"CN123456","amount":20}</t>
  </si>
  <si>
    <t xml:space="preserve">Status=201; fee=0.2; total=20.2</t>
  </si>
  <si>
    <t xml:space="preserve">TC-API-302-14</t>
  </si>
  <si>
    <t xml:space="preserve">gradBillPayments.spec / "83. CityNet fee sərhədi — amount=21 (clamp yoxdur)"</t>
  </si>
  <si>
    <t xml:space="preserve">83. CityNet fee sərhədi — amount=21 (clamp yoxdur)</t>
  </si>
  <si>
    <t xml:space="preserve">1) Post /auth/login — body: {"email":"user1@test.com","password":"User1234"}
2) Post /cards — body: {"accountId":"acc_002","initialAmount":100}
3) Post /bill-payments — body: {"cardId":"${cardId}","billerId":"citynet","subscriberNo":"CN123456","amount":21}</t>
  </si>
  <si>
    <t xml:space="preserve">{"cardId":"${cardId}","billerId":"citynet","subscriberNo":"CN123456","amount":21}</t>
  </si>
  <si>
    <t xml:space="preserve">Status=201; fee=0.21; total=21.21</t>
  </si>
  <si>
    <t xml:space="preserve">TC-API-302-15</t>
  </si>
  <si>
    <t xml:space="preserve">gradBillPayments.spec / "84. CityNet fee sərhədi — amount=150 (maksimum)"</t>
  </si>
  <si>
    <t xml:space="preserve">84. CityNet fee sərhədi — amount=150 (maksimum)</t>
  </si>
  <si>
    <t xml:space="preserve">1) Post /auth/login — body: {"email":"user1@test.com","password":"User1234"}
2) Post /cards — body: {"accountId":"acc_002","initialAmount":200}
3) Post /bill-payments — body: {"cardId":"${cardId}","billerId":"citynet","subscriberNo":"CN123456","amount":150}</t>
  </si>
  <si>
    <t xml:space="preserve">{"cardId":"${cardId}","billerId":"citynet","subscriberNo":"CN123456","amount":150}</t>
  </si>
  <si>
    <t xml:space="preserve">Status=201; fee=1.5; total=151.5</t>
  </si>
  <si>
    <t xml:space="preserve">TC-API-302-16</t>
  </si>
  <si>
    <t xml:space="preserve">gradBillPayments.spec / "85. Amount minimumdan aşağı (CityNet, 4.99)"</t>
  </si>
  <si>
    <t xml:space="preserve">85. Amount minimumdan aşağı (CityNet, 4.99)</t>
  </si>
  <si>
    <t xml:space="preserve">1) Post /auth/login — body: {"email":"user1@test.com","password":"User1234"}
2) Post /cards — body: {"accountId":"acc_002","initialAmount":100}
3) Post /bill-payments — body: {"cardId":"${cardId}","billerId":"citynet","subscriberNo":"CN123456","amount":4.99}</t>
  </si>
  <si>
    <t xml:space="preserve">{"cardId":"${cardId}","billerId":"citynet","subscriberNo":"CN123456","amount":4.99}</t>
  </si>
  <si>
    <t xml:space="preserve">Status=422; code=AMOUNT_OUT_OF_RANGE</t>
  </si>
  <si>
    <t xml:space="preserve">TC-API-302-17</t>
  </si>
  <si>
    <t xml:space="preserve">gradBillPayments.spec / "86. Amount maksimumdan yuxarı (CityNet, 150.01)"</t>
  </si>
  <si>
    <t xml:space="preserve">86. Amount maksimumdan yuxarı (CityNet, 150.01)</t>
  </si>
  <si>
    <t xml:space="preserve">1) Post /auth/login — body: {"email":"user1@test.com","password":"User1234"}
2) Post /cards — body: {"accountId":"acc_002","initialAmount":200}
3) Post /bill-payments — body: {"cardId":"${cardId}","billerId":"citynet","subscriberNo":"CN123456","amount":150.01}</t>
  </si>
  <si>
    <t xml:space="preserve">{"cardId":"${cardId}","billerId":"citynet","subscriberNo":"CN123456","amount":150.01}</t>
  </si>
  <si>
    <t xml:space="preserve">TC-API-302-18</t>
  </si>
  <si>
    <t xml:space="preserve">gradBillPayments.spec / "87. Per-transaction limit (300) aşılır"</t>
  </si>
  <si>
    <t xml:space="preserve">87. Per-transaction limit (300) aşılır</t>
  </si>
  <si>
    <t xml:space="preserve">Neqativ (Limit)</t>
  </si>
  <si>
    <t xml:space="preserve">1) Post /auth/login — body: {"email":"user1@test.com","password":"User1234"}
2) Post /cards — body: {"accountId":"acc_002","initialAmount":1000}
3) Post /bill-payments — body: {"cardId":"${cardId}","billerId":"azerisiq","subscriberNo":"1234567890","amount":300.01}</t>
  </si>
  <si>
    <t xml:space="preserve">{"cardId":"${cardId}","billerId":"azerisiq","subscriberNo":"1234567890","amount":300.01}</t>
  </si>
  <si>
    <t xml:space="preserve">Status=422; code=PER_TRANSACTION_LIMIT</t>
  </si>
  <si>
    <t xml:space="preserve">TC-API-302-19</t>
  </si>
  <si>
    <t xml:space="preserve">gradBillPayments.spec / "88. Per-transaction limit sərhədi — 300 dəqiq (keçir)"</t>
  </si>
  <si>
    <t xml:space="preserve">88. Per-transaction limit sərhədi — 300 dəqiq (keçir)</t>
  </si>
  <si>
    <t xml:space="preserve">Pozitiv (Limit sərhədi)</t>
  </si>
  <si>
    <t xml:space="preserve">1) Post /auth/login — body: {"email":"user1@test.com","password":"User1234"}
2) Post /cards — body: {"accountId":"acc_002","initialAmount":1000}
3) Post /bill-payments — body: {"cardId":"${cardId}","billerId":"azerisiq","subscriberNo":"1234567890","amount":300}</t>
  </si>
  <si>
    <t xml:space="preserve">{"cardId":"${cardId}","billerId":"azerisiq","subscriberNo":"1234567890","amount":300}</t>
  </si>
  <si>
    <t xml:space="preserve">Status=201; total=300</t>
  </si>
  <si>
    <t xml:space="preserve">TC-API-302-20</t>
  </si>
  <si>
    <t xml:space="preserve">gradBillPayments.spec / "89. Daily limit (500) aşılır — zəncirvari ödənişlər"</t>
  </si>
  <si>
    <t xml:space="preserve">89. Daily limit (500) aşılır — zəncirvari ödənişlər</t>
  </si>
  <si>
    <t xml:space="preserve">1) Post /auth/login — body: {"email":"user1@test.com","password":"User1234"}
2) Post /cards — body: {"accountId":"acc_002","initialAmount":1000}
3) Post /bill-payments — body: {"cardId":"${cardId}","billerId":"azerisiq","subscriberNo":"1234567890","amount":300}
4) Post /bill-payments — body: {"cardId":"${cardId}","billerId":"azerisiq","subscriberNo":"1234567890","amount":200}
5) Post /bill-payments — body: {"cardId":"${cardId}","billerId":"azerisiq","subscriberNo":"1234567890","amount":1}</t>
  </si>
  <si>
    <t xml:space="preserve">{"cardId":"${cardId}","billerId":"azerisiq","subscriberNo":"1234567890","amount":1}</t>
  </si>
  <si>
    <t xml:space="preserve">Status=422; code=DAILY_LIMIT_EXCEEDED</t>
  </si>
  <si>
    <t xml:space="preserve">TC-API-302-21</t>
  </si>
  <si>
    <t xml:space="preserve">gradBillPayments.spec / "90. Insufficient funds — balansdan böyük ödəniş"</t>
  </si>
  <si>
    <t xml:space="preserve">90. Insufficient funds — balansdan böyük ödəniş</t>
  </si>
  <si>
    <t xml:space="preserve">1) Post /auth/login — body: {"email":"user1@test.com","password":"User1234"}
2) Post /cards — body: {"accountId":"acc_002","initialAmount":49.50}
3) Post /bill-payments — body: {"cardId":"${cardId}","billerId":"azerisiq","subscriberNo":"1234567890","amount":49.51}</t>
  </si>
  <si>
    <t xml:space="preserve">{"cardId":"${cardId}","billerId":"azerisiq","subscriberNo":"1234567890","amount":49.51}</t>
  </si>
  <si>
    <t xml:space="preserve">Status=422; code=INSUFFICIENT_FUNDS</t>
  </si>
  <si>
    <t xml:space="preserve">TC-API-302-22</t>
  </si>
  <si>
    <t xml:space="preserve">gradBillPayments.spec / "91. Insufficient funds sərhədi — balansın tam məbləği (keçir)"</t>
  </si>
  <si>
    <t xml:space="preserve">91. Insufficient funds sərhədi — balansın tam məbləği (keçir)</t>
  </si>
  <si>
    <t xml:space="preserve">1) Post /auth/login — body: {"email":"user1@test.com","password":"User1234"}
2) Post /cards — body: {"accountId":"acc_002","initialAmount":49.50}
3) Post /bill-payments — body: {"cardId":"${cardId}","billerId":"azerisiq","subscriberNo":"1234567890","amount":49.50}</t>
  </si>
  <si>
    <t xml:space="preserve">{"cardId":"${cardId}","billerId":"azerisiq","subscriberNo":"1234567890","amount":49.50}</t>
  </si>
  <si>
    <t xml:space="preserve">Status=201; balanceAfter=0</t>
  </si>
  <si>
    <t xml:space="preserve">TC-API-302-23</t>
  </si>
  <si>
    <t xml:space="preserve">gradBillPayments.spec / "92. FROZEN kartla ödəniş cəhdi"</t>
  </si>
  <si>
    <t xml:space="preserve">92. FROZEN kartla ödəniş cəhdi</t>
  </si>
  <si>
    <t xml:space="preserve">1) Post /auth/login — body: {"email":"user1@test.com","password":"User1234"}
2) Post /cards — body: {"accountId":"acc_002","initialAmount":100}
3) Post /cards/${cardId}/block — body: {"reason":"TEMPORARY"}
4) Post /bill-payments — body: {"cardId":"${cardId}","billerId":"azerisiq","subscriberNo":"1234567890","amount":50}</t>
  </si>
  <si>
    <t xml:space="preserve">{"cardId":"${cardId}","billerId":"azerisiq","subscriberNo":"1234567890","amount":50}</t>
  </si>
  <si>
    <t xml:space="preserve">Status=422; code=CARD_NOT_ACTIVE</t>
  </si>
  <si>
    <t xml:space="preserve">TC-API-302-24</t>
  </si>
  <si>
    <t xml:space="preserve">gradBillPayments.spec / "93. BLOCKED kartla ödəniş cəhdi"</t>
  </si>
  <si>
    <t xml:space="preserve">93. BLOCKED kartla ödəniş cəhdi</t>
  </si>
  <si>
    <t xml:space="preserve">1) Post /auth/login — body: {"email":"user1@test.com","password":"User1234"}
2) Post /cards — body: {"accountId":"acc_002","initialAmount":100}
3) Post /cards/${cardId}/block — body: {"reason":"LOST"}
4) Post /bill-payments — body: {"cardId":"${cardId}","billerId":"azerisiq","subscriberNo":"1234567890","amount":50}</t>
  </si>
  <si>
    <t xml:space="preserve">TC-API-302-25</t>
  </si>
  <si>
    <t xml:space="preserve">gradBillPayments.spec / "94. USD kartla ödəniş — CURRENCY_NOT_SUPPORTED (AC-14)"</t>
  </si>
  <si>
    <t xml:space="preserve">94. USD kartla ödəniş — CURRENCY_NOT_SUPPORTED (AC-14)</t>
  </si>
  <si>
    <t xml:space="preserve">Neqativ (Currency)</t>
  </si>
  <si>
    <t xml:space="preserve">user2@test.com istifadəçisi kimi login olunub, etibarlı token mövcuddur</t>
  </si>
  <si>
    <t xml:space="preserve">1) Post /auth/login — body: {"email":"user2@test.com","password":"User1234"}
2) Post /cards — body: {"accountId":"acc_003","initialAmount":100}
3) Post /bill-payments — body: {"cardId":"${cardId}","billerId":"azerisiq","subscriberNo":"1234567890","amount":50}</t>
  </si>
  <si>
    <t xml:space="preserve">Status=422; currency=USD; code=CURRENCY_NOT_SUPPORTED</t>
  </si>
  <si>
    <t xml:space="preserve">TC-API-303-01</t>
  </si>
  <si>
    <t xml:space="preserve">gradPaymentHistory.spec / "1. Parametrsiz sorğu — default page/limit"</t>
  </si>
  <si>
    <t xml:space="preserve">1. Parametrsiz sorğu — default page/limit</t>
  </si>
  <si>
    <t xml:space="preserve">1) Post /auth/login — body: {"email":"user1@test.com","password":"User1234"}
2) Post /cards — body: {"accountId":"acc_002","initialAmount":100}
3) Post /bill-payments — body: {"cardId":"${cardId}","billerId":"azerisiq","subscriberNo":"1234567890","amount":10}
4) Get /bill-payments</t>
  </si>
  <si>
    <t xml:space="preserve">{"cardId":"${cardId}","billerId":"azerisiq","subscriberNo":"1234567890","amount":10}</t>
  </si>
  <si>
    <t xml:space="preserve">Status=200; page=1; limit=10; total=1</t>
  </si>
  <si>
    <t xml:space="preserve">TC-API-303-02</t>
  </si>
  <si>
    <t xml:space="preserve">gradPaymentHistory.spec / "2. Pagination — 18 ödəniş, page=2"</t>
  </si>
  <si>
    <t xml:space="preserve">2. Pagination — 18 ödəniş, page=2</t>
  </si>
  <si>
    <t xml:space="preserve">Pozitiv (Pagination)</t>
  </si>
  <si>
    <t xml:space="preserve">1) Post /auth/login — body: {"email":"user1@test.com","password":"User1234"}
2) Post /cards — body: {"accountId":"acc_002","initialAmount":50}
3) Post /bill-payments — body: {"cardId":"${cardId}","billerId":"azerisiq","subscriberNo":"1234567890","amount":1}
4) Post /bill-payments — body: {"cardId":"${cardId}","billerId":"azerisiq","subscriberNo":"1234567890","amount":1}
5) Post /bill-payments — body: {"cardId":"${cardId}","billerId":"azerisiq","subscriberNo":"1234567890","amount":1}
6) Post /bill-payments — body: {"cardId":"${cardId}","billerId":"azerisiq","subscriberNo":"1234567890","amount":1}
7) Post /bill-payments — body: {"cardId":"${cardId}","billerId":"azerisiq","subscriberNo":"1234567890","amount":1}
8) Post /bill-payments — body: {"cardId":"${cardId}","billerId":"azerisiq","subscriberNo":"1234567890","amount":1}
9) Post /bill-payments — body: {"cardId":"${cardId}","billerId":"azerisiq","subscriberNo":"1234567890","amount":1}
10) Post /bill-payments — body: {"cardId":"${cardId}","billerId":"azerisiq","subscriberNo":"1234567890","amount":1}
11) Post /bill-payments — body: {"cardId":"${cardId}","billerId":"azerisiq","subscriberNo":"1234567890","amount":1}
12) Post /bill-payments — body: {"cardId":"${cardId}","billerId":"azerisiq","subscriberNo":"1234567890","amount":1}
13) Post /bill-payments — body: {"cardId":"${cardId}","billerId":"azerisiq","subscriberNo":"1234567890","amount":1}
14) Post /bill-payments — body: {"cardId":"${cardId}","billerId":"azerisiq","subscriberNo":"1234567890","amount":1}
15) Post /bill-payments — body: {"cardId":"${cardId}","billerId":"azerisiq","subscriberNo":"1234567890","amount":1}
16) Post /bill-payments — body: {"cardId":"${cardId}","billerId":"azerisiq","subscriberNo":"1234567890","amount":1}
17) Post /bill-payments — body: {"cardId":"${cardId}","billerId":"azerisiq","subscriberNo":"1234567890","amount":1}
18) Post /bill-payments — body: {"cardId":"${cardId}","billerId":"azerisiq","subscriberNo":"1234567890","amount":1}
19) Post /bill-payments — body: {"cardId":"${cardId}","billerId":"azerisiq","subscriberNo":"1234567890","amount":1}
20) Post /bill-payments — body: {"cardId":"${cardId}","billerId":"azerisiq","subscriberNo":"1234567890","amount":1}
21) Get /bill-payments?page=2&amp;limit=10</t>
  </si>
  <si>
    <t xml:space="preserve">Status=200; page=2; limit=10; total=18; totalPages=2</t>
  </si>
  <si>
    <t xml:space="preserve">TC-API-303-03</t>
  </si>
  <si>
    <t xml:space="preserve">gradPaymentHistory.spec / "3. Mövcud olmayan səhifə — boş nəticə"</t>
  </si>
  <si>
    <t xml:space="preserve">3. Mövcud olmayan səhifə — boş nəticə</t>
  </si>
  <si>
    <t xml:space="preserve">1) Post /auth/login — body: {"email":"user1@test.com","password":"User1234"}
2) Post /cards — body: {"accountId":"acc_002","initialAmount":100}
3) Post /bill-payments — body: {"cardId":"${cardId}","billerId":"azerisiq","subscriberNo":"1234567890","amount":10}
4) Post /bill-payments — body: {"cardId":"${cardId}","billerId":"azerisiq","subscriberNo":"1234567890","amount":10}
5) Get /bill-payments?page=3&amp;limit=10</t>
  </si>
  <si>
    <t xml:space="preserve">Status=200; page=3; total=2; totalPages=1</t>
  </si>
  <si>
    <t xml:space="preserve">TC-API-303-04</t>
  </si>
  <si>
    <t xml:space="preserve">gradPaymentHistory.spec / "4. limit=0 — qəbul olunmur"</t>
  </si>
  <si>
    <t xml:space="preserve">4. limit=0 — qəbul olunmur</t>
  </si>
  <si>
    <t xml:space="preserve">Neqativ (Validasiya)</t>
  </si>
  <si>
    <t xml:space="preserve">1) Post /auth/login — body: {"email":"user1@test.com","password":"User1234"}
2) Get /bill-payments?limit=0</t>
  </si>
  <si>
    <t xml:space="preserve">TC-API-303-05</t>
  </si>
  <si>
    <t xml:space="preserve">gradPaymentHistory.spec / "5. limit=51 — qəbul olunmur"</t>
  </si>
  <si>
    <t xml:space="preserve">5. limit=51 — qəbul olunmur</t>
  </si>
  <si>
    <t xml:space="preserve">1) Post /auth/login — body: {"email":"user1@test.com","password":"User1234"}
2) Get /bill-payments?limit=51</t>
  </si>
  <si>
    <t xml:space="preserve">TC-API-303-06</t>
  </si>
  <si>
    <t xml:space="preserve">gradPaymentHistory.spec / "6. page=0 — qəbul olunmur"</t>
  </si>
  <si>
    <t xml:space="preserve">6. page=0 — qəbul olunmur</t>
  </si>
  <si>
    <t xml:space="preserve">1) Post /auth/login — body: {"email":"user1@test.com","password":"User1234"}
2) Get /bill-payments?page=0</t>
  </si>
  <si>
    <t xml:space="preserve">TC-API-303-07</t>
  </si>
  <si>
    <t xml:space="preserve">gradPaymentHistory.spec / "7. page=-1 — qəbul olunmur"</t>
  </si>
  <si>
    <t xml:space="preserve">7. page=-1 — qəbul olunmur</t>
  </si>
  <si>
    <t xml:space="preserve">1) Post /auth/login — body: {"email":"user1@test.com","password":"User1234"}
2) Get /bill-payments?page=-1</t>
  </si>
  <si>
    <t xml:space="preserve">TC-API-303-08</t>
  </si>
  <si>
    <t xml:space="preserve">gradPaymentHistory.spec / "8. page=abc — rəqəm olmayan dəyər"</t>
  </si>
  <si>
    <t xml:space="preserve">8. page=abc — rəqəm olmayan dəyər</t>
  </si>
  <si>
    <t xml:space="preserve">1) Post /auth/login — body: {"email":"user1@test.com","password":"User1234"}
2) Get /bill-payments?page=abc</t>
  </si>
  <si>
    <t xml:space="preserve">TC-API-303-09</t>
  </si>
  <si>
    <t xml:space="preserve">gradPaymentHistory.spec / "9. Mövcud olmayan tarix (from=2026-13-01)"</t>
  </si>
  <si>
    <t xml:space="preserve">9. Mövcud olmayan tarix (from=2026-13-01)</t>
  </si>
  <si>
    <t xml:space="preserve">1) Post /auth/login — body: {"email":"user1@test.com","password":"User1234"}
2) Get /bill-payments?from=2026-13-01</t>
  </si>
  <si>
    <t xml:space="preserve">TC-API-303-10</t>
  </si>
  <si>
    <t xml:space="preserve">gradPaymentHistory.spec / "10. from &gt; to"</t>
  </si>
  <si>
    <t xml:space="preserve">10. from &gt; to</t>
  </si>
  <si>
    <t xml:space="preserve">1) Post /auth/login — body: {"email":"user1@test.com","password":"User1234"}
2) Get /bill-payments?from=2026-09-30&amp;to=2026-09-01</t>
  </si>
  <si>
    <t xml:space="preserve">TC-API-303-11</t>
  </si>
  <si>
    <t xml:space="preserve">gradPaymentHistory.spec / "11. from = to = bu gün"</t>
  </si>
  <si>
    <t xml:space="preserve">11. from = to = bu gün</t>
  </si>
  <si>
    <t xml:space="preserve">Pozitiv (Filter)</t>
  </si>
  <si>
    <t xml:space="preserve">1) Post /auth/login — body: {"email":"user1@test.com","password":"User1234"}
2) Post /cards — body: {"accountId":"acc_002","initialAmount":100}
3) Post /bill-payments — body: {"cardId":"${cardId}","billerId":"azerisiq","subscriberNo":"1234567890","amount":10}
4) Get /bill-payments?from=2026-10-05&amp;to=2026-10-05</t>
  </si>
  <si>
    <t xml:space="preserve">TC-API-303-12</t>
  </si>
  <si>
    <t xml:space="preserve">gradPaymentHistory.spec / "12. billerId=citynet filtri"</t>
  </si>
  <si>
    <t xml:space="preserve">12. billerId=citynet filtri</t>
  </si>
  <si>
    <t xml:space="preserve">1) Post /auth/login — body: {"email":"user1@test.com","password":"User1234"}
2) Post /cards — body: {"accountId":"acc_002","initialAmount":100}
3) Post /bill-payments — body: {"cardId":"${cardId}","billerId":"citynet","subscriberNo":"CN123456","amount":10}
4) Post /bill-payments — body: {"cardId":"${cardId}","billerId":"azerisiq","subscriberNo":"1234567890","amount":10}
5) Get /bill-payments?billerId=citynet</t>
  </si>
  <si>
    <t xml:space="preserve">TC-API-303-13</t>
  </si>
  <si>
    <t xml:space="preserve">gradPaymentHistory.spec / "13. Token yoxdur"</t>
  </si>
  <si>
    <t xml:space="preserve">13. Token yoxdur</t>
  </si>
  <si>
    <t xml:space="preserve">1) Get /bill-payments</t>
  </si>
  <si>
    <t xml:space="preserve">TC-API-201-G1</t>
  </si>
  <si>
    <t xml:space="preserve">GAP (heç bir spec faylında yoxdur) — AC-6, GRAD-AC-Reference.md</t>
  </si>
  <si>
    <t xml:space="preserve">Balansı kifayət etməyən hesabla kart yaratmaq (insufficient funds)</t>
  </si>
  <si>
    <t xml:space="preserve">user2 istifadəçisi kimi login olunub (balans 890.50 AZN)</t>
  </si>
  <si>
    <t xml:space="preserve">1) Post /auth/login
2) Post /cards — body: {"accountId":"&lt;user2 hesabı&gt;","initialAmount":891}</t>
  </si>
  <si>
    <t xml:space="preserve">{"accountId":"acc_003","initialAmount":891}</t>
  </si>
  <si>
    <t xml:space="preserve">Manual (hələ avtomatlaşdırılmayıb)</t>
  </si>
  <si>
    <t xml:space="preserve">Traceability Matrix-də YOXDUR kimi işarələnib: "gradCreateCard.spec-də bu ssenari YOXDUR. Heç bir fayl bu AC-ni avtomatlaşdırmır. GAP." Növbəti sprint üçün planlaşdırılıb.</t>
  </si>
  <si>
    <t xml:space="preserve">Xeyr (hələ əhatə yoxdur)</t>
  </si>
  <si>
    <t xml:space="preserve">YOXDUR / Planlaşdırılıb</t>
  </si>
  <si>
    <t xml:space="preserve">GAP: AC-6 heç bir Gauge spec-də test olunmur.</t>
  </si>
  <si>
    <t xml:space="preserve">TC-API-201-G2</t>
  </si>
  <si>
    <t xml:space="preserve">GAP (heç bir spec faylında yoxdur) — AC-8, GRAD-AC-Reference.md</t>
  </si>
  <si>
    <t xml:space="preserve">BLOCKED kartın mövcud kart limitinə (3) sayılmaması</t>
  </si>
  <si>
    <t xml:space="preserve">İstifadəçinin artıq 1 BLOCKED + 2 ACTIVE kartı var (limit=3)</t>
  </si>
  <si>
    <t xml:space="preserve">1) Post /auth/login
2) Post /cards/{blockedCardId}/block (əvvəlcədən)
3) Post /cards — yeni kart yaratmaq cəhdi</t>
  </si>
  <si>
    <t xml:space="preserve">mövcud kartlardan biri BLOCKED statusunda</t>
  </si>
  <si>
    <t xml:space="preserve">Status=201 (BLOCKED kart limitə sayılmamalıdır)</t>
  </si>
  <si>
    <t xml:space="preserve">Traceability Matrix-də YOXDUR: "Heç bir spec faylında test olunmur. GAP."</t>
  </si>
  <si>
    <t xml:space="preserve">GAP: AC-8 heç bir Gauge spec-də test olunmur.</t>
  </si>
  <si>
    <t xml:space="preserve">TC-API-203-G1</t>
  </si>
  <si>
    <t xml:space="preserve">GAP (heç bir spec faylında yoxdur) — Qayda-2 (IDOR), GRAD-AC-Reference.md</t>
  </si>
  <si>
    <t xml:space="preserve">Başqa istifadəçinin kartını bloklamaq cəhdi (IDOR)</t>
  </si>
  <si>
    <t xml:space="preserve">user1 kart yaradıb; user2 həmin kartı bloklamağa cəhd edir</t>
  </si>
  <si>
    <t xml:space="preserve">1) user1 login + Post /cards
2) user2 login
3) Post /cards/{user1-in kartı}/block Bearer user2 token ilə</t>
  </si>
  <si>
    <t xml:space="preserve">user1-in cardId-i, user2-nin tokeni</t>
  </si>
  <si>
    <t xml:space="preserve">Status=404; code=NOT_FOUND (403 yox — Qayda-2)</t>
  </si>
  <si>
    <t xml:space="preserve">Traceability Matrix-də YOXDUR: "POST /cards/{id}/block üçün IDOR testi yoxdur. GRAD-103/202-dəki IDOR pattern-i bura tətbiq edilməyib. GAP."</t>
  </si>
  <si>
    <t xml:space="preserve">GAP: block endpoint-də IDOR test edilmir.</t>
  </si>
  <si>
    <t xml:space="preserve">TC-API-204-G1</t>
  </si>
  <si>
    <t xml:space="preserve">GAP (heç bir spec faylında yoxdur) — AC-4, GRAD-AC-Reference.md</t>
  </si>
  <si>
    <t xml:space="preserve">Unblock olunmuş kartla ödənişin uğurla keçməsi</t>
  </si>
  <si>
    <t xml:space="preserve">Kart əvvəlcə BLOCKED edilib, sonra unblock olunub (ACTIVE)</t>
  </si>
  <si>
    <t xml:space="preserve">1) Post /cards/{id}/block
2) Post /cards/{id}/unblock
3) Post /bill-payments — həmin kartla</t>
  </si>
  <si>
    <t xml:space="preserve">unblock olunmuş cardId</t>
  </si>
  <si>
    <t xml:space="preserve">Status=201; ödəniş uğurla keçir</t>
  </si>
  <si>
    <t xml:space="preserve">Traceability Matrix-də YOXDUR: "Heç bir spec-də unblock-dan sonra ödəniş testi yoxdur. GAP."</t>
  </si>
  <si>
    <t xml:space="preserve">GAP: AC-4 heç bir spec-də test olunmur.</t>
  </si>
  <si>
    <t xml:space="preserve">TC-API-204-G2</t>
  </si>
  <si>
    <t xml:space="preserve">Başqa istifadəçinin kartını unblock etmək cəhdi (IDOR)</t>
  </si>
  <si>
    <t xml:space="preserve">user1 kart yaradıb və bloklayıb; user2 həmin kartı unblock etməyə cəhd edir</t>
  </si>
  <si>
    <t xml:space="preserve">1) user1 login + Post /cards + block
2) user2 login
3) Post /cards/{user1-in kartı}/unblock Bearer user2 token ilə</t>
  </si>
  <si>
    <t xml:space="preserve">Traceability Matrix-də YOXDUR: "Heç bir spec-də POST /cards/{id}/unblock üçün IDOR testi yoxdur. GAP."</t>
  </si>
  <si>
    <t xml:space="preserve">GAP: unblock endpoint-də IDOR test edilmir.</t>
  </si>
  <si>
    <t xml:space="preserve">TC-API-302-G1</t>
  </si>
  <si>
    <t xml:space="preserve">GAP (heç bir spec faylında yoxdur) — AC-3, GRAD-AC-Reference.md</t>
  </si>
  <si>
    <t xml:space="preserve">receiptNo formatı və artımının yoxlanılması (RCP-YYYYMMDD-000001, +1)</t>
  </si>
  <si>
    <t xml:space="preserve">Sandbox-da həmin gün üçün hələ ödəniş edilməyib</t>
  </si>
  <si>
    <t xml:space="preserve">1) Post /bill-payments (1-ci ödəniş)
2) receiptNo formatını yoxla
3) Post /bill-payments (2-ci ödəniş)
4) receiptNo-nun +1 artdığını yoxla</t>
  </si>
  <si>
    <t xml:space="preserve">2 ardıcıl bill-payment sorğusu</t>
  </si>
  <si>
    <t xml:space="preserve">1-ci: RCP-YYYYMMDD-000001; 2-ci: RCP-YYYYMMDD-000002</t>
  </si>
  <si>
    <t xml:space="preserve">Traceability Matrix-də YOXDUR: "Heç bir ssenaridə receiptNo formatı və ya artımı yoxlanılmır. GAP."</t>
  </si>
  <si>
    <t xml:space="preserve">GAP: AC-3 heç bir spec-də test olunmur.</t>
  </si>
  <si>
    <t xml:space="preserve">TC-API-RULE-G1</t>
  </si>
  <si>
    <t xml:space="preserve">GAP (AC-Reference-də "HƏLƏ TEST EDİLMƏYİB" kimi işarələnib)</t>
  </si>
  <si>
    <t xml:space="preserve">Etibarlı token mövcuddur</t>
  </si>
  <si>
    <t xml:space="preserve">1) Qısa müddətdə 600+ sorğu göndər (eyni token ilə)</t>
  </si>
  <si>
    <t xml:space="preserve">601-ci sorğudan sonra rate-limit cavabı (məs. 429) qaytarılmalıdır</t>
  </si>
  <si>
    <t xml:space="preserve">AC-Reference-in özü bunu "HƏLƏ TEST EDİLMƏYİB" kimi işarələyib; heç bir spec faylında test yoxdur.</t>
  </si>
  <si>
    <t xml:space="preserve">GAP: Qayda-3 heç bir spec-də test olunmur.</t>
  </si>
  <si>
    <t xml:space="preserve">TC-API-RULE-G2</t>
  </si>
  <si>
    <t xml:space="preserve">Sərhəd (Zaman)</t>
  </si>
  <si>
    <t xml:space="preserve">24 saatdan artıq yaşı olan token mövcuddur</t>
  </si>
  <si>
    <t xml:space="preserve">1) Köhnə (24 saatdan böyük) token ilə hər hansı qorunan endpoint-ə sorğu göndər</t>
  </si>
  <si>
    <t xml:space="preserve">401 (token etibarsızdır) qaytarılmalıdır</t>
  </si>
  <si>
    <t xml:space="preserve">AC-Reference-in özü bunu "HƏLƏ TEST EDİLMƏYİB" kimi işarələyib; 24 saatlıq gözləmə tələb etdiyi üçün hələ icra olunmayıb.</t>
  </si>
  <si>
    <t xml:space="preserve">GAP: Qayda-4 heç bir spec-də test olunmur, icra üçün 24 saat gözləmə lazımdır.</t>
  </si>
  <si>
    <t xml:space="preserve">TC-API-202-M1</t>
  </si>
  <si>
    <t xml:space="preserve">Postman: GRAD-collection.json / "202-51a..e" (gecəyarı sərhədi, hələ Gauge spec-ə köçürülməyib)</t>
  </si>
  <si>
    <t xml:space="preserve">Gecəyarıdan (Baku UTC+4) əvvəl ödəniş edilir, spentToday həmin gün üçün artır; sonra sıfırlanıb-sıfırlanmadığı yoxlanılır</t>
  </si>
  <si>
    <t xml:space="preserve">Sərhəd (BVA — zaman)</t>
  </si>
  <si>
    <t xml:space="preserve">user1 login olunub, yeni kart yaradılıb</t>
  </si>
  <si>
    <t xml:space="preserve">1) Post /auth/login
2) Post /cards
3) Gecəyarıdan əvvəl Post /bill-payments (Idempotency-Key ilə)
4) Get /cards/{id} — spentToday-ı qeyd et
5) (gecəyarıdan sonra) Get /cards/{id} — spentToday-ın sıfırlanıb-sıfırlanmadığını yoxla</t>
  </si>
  <si>
    <t xml:space="preserve">Idempotency-Key: dinamik generasiya olunur (hər icrada unikal)</t>
  </si>
  <si>
    <t xml:space="preserve">Gecəyarıdan əvvəl spentToday artır; gecəyarıdan sonra günlük limit sıfırlanır (boolean-safe assertion)</t>
  </si>
  <si>
    <t xml:space="preserve">Avtomat (Postman — əlavə, hələ Gauge .spec-ə köçürülməyib)</t>
  </si>
  <si>
    <t xml:space="preserve">GRAD-202 AC-2 "spentToday HEÇ BİR testdə assert edilmir" gap-ini qismən bağlamaq üçün bu sessiyada Postman-da əlavə edilib (bax Traceability Matrix, GRAD-202 AC-2 qeydi). Nəticə həlledici şəkildə icra olunub və uyğunsa Gauge spec-ə köçürüləcək.</t>
  </si>
  <si>
    <t xml:space="preserve">Qismən (Postman-da, Gauge regression-da hələ yox)</t>
  </si>
  <si>
    <t xml:space="preserve">İcra planlaşdırılıb / nəticə gözlənilir</t>
  </si>
  <si>
    <t xml:space="preserve">GRAD-202 AC-2 spentToday gap-ini qismən bağlayır; Gauge-ə köçürülməlidir.</t>
  </si>
  <si>
    <t xml:space="preserve">TC-API-303-M1</t>
  </si>
  <si>
    <t xml:space="preserve">Postman: GRAD-collection.json / "14a..c" (UTC/Baku tarix sərhədi, hələ Gauge spec-ə köçürülməyib)</t>
  </si>
  <si>
    <t xml:space="preserve">Gecəyarıdan dərhal sonra edilən ödənişin from=to=bugün (Baku) filtrində görünməsi, from=to=sabah (UTC) filtrində görünməməsi</t>
  </si>
  <si>
    <t xml:space="preserve">Sərhəd (BVA — zaman/timezone)</t>
  </si>
  <si>
    <t xml:space="preserve">user1 login olunub; gecəyarıdan dərhal sonra (Baku vaxtı) ödəniş edilib</t>
  </si>
  <si>
    <t xml:space="preserve">1) Post /bill-payments (Baku gecəyarısından dərhal sonra)
2) Get /payment-history?from=&lt;bugün Baku&gt;&amp;to=&lt;bugün Baku&gt;
3) Get /payment-history?from=&lt;dünən Baku&gt;&amp;to=&lt;dünən Baku&gt;</t>
  </si>
  <si>
    <t xml:space="preserve">from/to parametrləri Baku (UTC+4) tarixi ilə hesablanır, naiv toISOString() istifadə edilmir</t>
  </si>
  <si>
    <t xml:space="preserve">Bugünkü filtr ödənişi .some() ilə tapır; dünənki filtr tapmır</t>
  </si>
  <si>
    <t xml:space="preserve">GRAD-303 AC-4/tarix-filtri sərhəd testlərini gücləndirmək üçün bu sessiyada Postman-da əlavə edilib (timezone-sensitiv edge-case).</t>
  </si>
  <si>
    <t xml:space="preserve">UTC/Baku sərhəd davranışını sənədləşdirir; Gauge-ə köçürülməlidir.</t>
  </si>
  <si>
    <t xml:space="preserve">Modul</t>
  </si>
  <si>
    <t xml:space="preserve">Mənbə (spec faylı və ssenari)</t>
  </si>
  <si>
    <t xml:space="preserve">TC-AUTH-09</t>
  </si>
  <si>
    <t xml:space="preserve">AUTH</t>
  </si>
  <si>
    <t xml:space="preserve">asos-auth-email-format.spec / "Yanlış formatlı email ilə cəhd — TC-AUTH-09"</t>
  </si>
  <si>
    <t xml:space="preserve">Yanlış formatlı email ilə cəhd</t>
  </si>
  <si>
    <t xml:space="preserve">Brauzer açıq deyil; "chrome" brauzerində https://www.asos.com-a keçid ediləcək (hər ssenari sıfırdan başlayır)</t>
  </si>
  <si>
    <t xml:space="preserve">1) Brauzer açılır, keçid: https://www.asos.com
2) Klik: My Account Icon
3) Klik: Sign In Link
4) "ASOS Email Input" elementine "test@@test" yaz
5) Klik: Submit Button</t>
  </si>
  <si>
    <t xml:space="preserve">Addımlarda göstərilən input dəyərləri (yuxarıya bax)</t>
  </si>
  <si>
    <t xml:space="preserve">Səhifədə "Oops! Please type in your correct email address" mətni görünməlidir</t>
  </si>
  <si>
    <t xml:space="preserve">Avtomat (Gauge+Selenium, regression-da)</t>
  </si>
  <si>
    <t xml:space="preserve">Gauge .spec kimi yazılıb və Selenium ilə canlı asos.com saytına qarşı avtomatlaşdırılıb (UI Test Plan hələ rəsmən yazılmayıb — bu sətir mövcud 25 spec-dən tərs-mühəndislik yolu ilə çıxarılıb).</t>
  </si>
  <si>
    <t xml:space="preserve">TC-AUTH-04</t>
  </si>
  <si>
    <t xml:space="preserve">asos-auth-validation.spec / "Boş email ilə login cəhdi — TC-AUTH-04"</t>
  </si>
  <si>
    <t xml:space="preserve">Boş email ilə login cəhdi</t>
  </si>
  <si>
    <t xml:space="preserve">1) Brauzer açılır, keçid: https://www.asos.com
2) Klik: My Account Icon
3) Klik: Sign In Link
4) Klik: Submit Button</t>
  </si>
  <si>
    <t xml:space="preserve">Səhifədə "Oops! You need to type your email here" mətni görünməlidir</t>
  </si>
  <si>
    <t xml:space="preserve">TC-AUTH-10</t>
  </si>
  <si>
    <t xml:space="preserve">asos-auth.spec / "Email daxil edib davam etmə"</t>
  </si>
  <si>
    <t xml:space="preserve">Email daxil edib davam etmə</t>
  </si>
  <si>
    <t xml:space="preserve">1) Brauzer açılır, keçid: https://www.asos.com
2) Klik: My Account Icon
3) Klik: Sign In Link
4) "ASOS Email Input" elementine "bakhdiyarli@gmail.com" yaz
5) Klik: Submit Button</t>
  </si>
  <si>
    <t xml:space="preserve">"ASOS Email Input" input deyeri "bakhdiyarli@gmail.com" olmalıdır</t>
  </si>
  <si>
    <t xml:space="preserve">TC-DATA-01</t>
  </si>
  <si>
    <t xml:space="preserve">DATA</t>
  </si>
  <si>
    <t xml:space="preserve">asos-data-price-consistency.spec / "PLP və PDP qiymətinin uyğunluğu — TC-DATA-01"</t>
  </si>
  <si>
    <t xml:space="preserve">PLP və PDP qiymətinin uyğunluğu</t>
  </si>
  <si>
    <t xml:space="preserve">1) Brauzer açılır, keçid: https://www.asos.com/women/dresses/cat/?cid=8799&amp;refine=base_colour:4
2) "PLP Product Price" elementinin metnini "plpPrice" olaraq yadda saxla
3) Klik: Product Card Link</t>
  </si>
  <si>
    <t xml:space="preserve">"Product Price" elementinin metni "${plpPrice}" olmalıdır</t>
  </si>
  <si>
    <t xml:space="preserve">Xeyr (hazırda stabil deyil — flaky/uğursuz, aşağıya bax)</t>
  </si>
  <si>
    <t xml:space="preserve">FAILED</t>
  </si>
  <si>
    <t xml:space="preserve">HTML report-da FAILED: [data-auto-id='brand'] elementi 10 saniyə ərzində görünmədi (locator timeout, HTML report-da FAILED). Qrading qaydasına əsasən (flaky test qəbul edilmir) regression-dan müvəqqəti çıxarılıb, aşağıdakı "Açıq Məsələlər" bölməsinə bax.</t>
  </si>
  <si>
    <t xml:space="preserve">TC-ERR-01</t>
  </si>
  <si>
    <t xml:space="preserve">ERR</t>
  </si>
  <si>
    <t xml:space="preserve">asos-err-notfound.spec / "Mövcud olmayan URL-ə birbaşa keçid — TC-ERR-01"</t>
  </si>
  <si>
    <t xml:space="preserve">Mövcud olmayan URL-ə birbaşa keçid</t>
  </si>
  <si>
    <t xml:space="preserve">1) Brauzer açılır, keçid: https://www.asos.com/eu/doesnotexist12345
2) Səhifənin tam yüklənməsi gözlənilir</t>
  </si>
  <si>
    <t xml:space="preserve">"ASOS Logo" görünür olmalıdır; "Search Input" görünür olmalıdır</t>
  </si>
  <si>
    <t xml:space="preserve">TC-I18N-01</t>
  </si>
  <si>
    <t xml:space="preserve">I18N</t>
  </si>
  <si>
    <t xml:space="preserve">asos-i18n-country-change.spec / "Ölkə dəyişikliyinin PLP qiymətlərinə tətbiqi — TC-I18N-01"</t>
  </si>
  <si>
    <t xml:space="preserve">Ölkə dəyişikliyinin PLP qiymətlərinə tətbiqi</t>
  </si>
  <si>
    <t xml:space="preserve">1) Brauzer açılır, keçid: https://www.asos.com/women/dresses/cat/?cid=8799&amp;refine=base_colour:4
2) Klik: Country Selector Button
3) "Shop In Country Select" dropdown-undan "United Kingdom" metnini seç
4) Klik: Update Preferences Button
5) Səhifənin tam yüklənməsi gözlənilir
6) "https://www.asos.com/women/dresses/cat/?cid=8799&amp;refine=base_colour:4" adresine keçid et
7) "PLP Product Price" elementin içinde "£" yazısı var</t>
  </si>
  <si>
    <t xml:space="preserve">TC-NAV-04</t>
  </si>
  <si>
    <t xml:space="preserve">NAV</t>
  </si>
  <si>
    <t xml:space="preserve">asos-nav-breadcrumb.spec / "Breadcrumb-dan kateqoriya səhifəsinə qayıtma — TC-NAV-04"</t>
  </si>
  <si>
    <t xml:space="preserve">Breadcrumb-dan kateqoriya səhifəsinə qayıtma</t>
  </si>
  <si>
    <t xml:space="preserve">1) Brauzer açılır, keçid: https://www.asos.com/women/dresses/cat/?cid=8799&amp;refine=base_colour:4
2) Klik: Product Card Link
3) Klik: Breadcrumb Dresses Link
4) Səhifənin tam yüklənməsi gözlənilir</t>
  </si>
  <si>
    <t xml:space="preserve">URL tərkibində "asos.com/women/dresses/cat/" olmalıdır</t>
  </si>
  <si>
    <t xml:space="preserve">TC-NAV-02</t>
  </si>
  <si>
    <t xml:space="preserve">asos-nav-logo.spec / "Logo ilə ana səhifəyə qayıtma — TC-NAV-02"</t>
  </si>
  <si>
    <t xml:space="preserve">Logo ilə ana səhifəyə qayıtma</t>
  </si>
  <si>
    <t xml:space="preserve">1) Brauzer açılır, keçid: https://www.asos.com/women/dresses/cat/?cid=8799&amp;refine=base_colour:4
2) Klik: ASOS Logo
3) Səhifənin tam yüklənməsi gözlənilir</t>
  </si>
  <si>
    <t xml:space="preserve">URL "https://www.asos.com/women/" olmalıdır</t>
  </si>
  <si>
    <t xml:space="preserve">TC-NAV-01</t>
  </si>
  <si>
    <t xml:space="preserve">asos-nav-women.spec / "Header menyudan kateqoriyaya keçid — TC-NAV-01"</t>
  </si>
  <si>
    <t xml:space="preserve">Header menyudan kateqoriyaya keçid</t>
  </si>
  <si>
    <t xml:space="preserve">1) Brauzer açılır, keçid: https://www.asos.com
2) Klik: Women Nav Link
3) Səhifənin tam yüklənməsi gözlənilir</t>
  </si>
  <si>
    <t xml:space="preserve">URL tərkibində "/women/" olmalıdır</t>
  </si>
  <si>
    <t xml:space="preserve">TC-NAV-05</t>
  </si>
  <si>
    <t xml:space="preserve">asos-nav.spec / "Logo ilə ana səhifəyə qayıtma"</t>
  </si>
  <si>
    <t xml:space="preserve">1) Brauzer açılır, keçid: https://www.asos.com/women/dresses/cat/?cid=8799&amp;refine=base_colour:4
2) Klik: Product Card Link
3) Səhifənin tam yüklənməsi gözlənilir
4) Klik: ASOS Logo
5) Səhifənin tam yüklənməsi gözlənilir</t>
  </si>
  <si>
    <t xml:space="preserve">URL tərkibində "/prd/" olmalıdır; URL tərkibində "asos.com/women/" olmalıdır</t>
  </si>
  <si>
    <t xml:space="preserve">TC-PDP-08</t>
  </si>
  <si>
    <t xml:space="preserve">PDP</t>
  </si>
  <si>
    <t xml:space="preserve">asos-pdp-details.spec / "Məhsul başlığı və qiymətinin göstərilməsi"</t>
  </si>
  <si>
    <t xml:space="preserve">Məhsul başlığı və qiymətinin göstərilməsi</t>
  </si>
  <si>
    <t xml:space="preserve">1) Brauzer açılır, keçid: https://www.asos.com/women/dresses/cat/?cid=8799&amp;refine=base_colour:4
2) Klik: Product Card Link</t>
  </si>
  <si>
    <t xml:space="preserve">"Product Title" görünür olmalıdır; "Product Price" görünür olmalıdır</t>
  </si>
  <si>
    <t xml:space="preserve">TC-PDP-07</t>
  </si>
  <si>
    <t xml:space="preserve">asos-pdp-size-guide.spec / "Fit Assistant (Size Guide ekvivalenti) linkinin açılması — TC-PDP-07"</t>
  </si>
  <si>
    <t xml:space="preserve">Fit Assistant (Size Guide ekvivalenti) linkinin açılması</t>
  </si>
  <si>
    <t xml:space="preserve">1) Brauzer açılır, keçid: https://www.asos.com/women/dresses/cat/?cid=8799&amp;refine=base_colour:4
2) Klik: Product Card Link
3) Klik: Size Guide Link</t>
  </si>
  <si>
    <t xml:space="preserve">Səhifədə "FIT ASSISTANT" mətni görünməlidir</t>
  </si>
  <si>
    <t xml:space="preserve">TC-PDP-09</t>
  </si>
  <si>
    <t xml:space="preserve">asos-pdp.spec / "Ölçü seçib çantaya əlavə etmə"</t>
  </si>
  <si>
    <t xml:space="preserve">Ölçü seçib çantaya əlavə etmə</t>
  </si>
  <si>
    <t xml:space="preserve">1) Brauzer açılır, keçid: https://www.asos.com/women/dresses/cat/?cid=8799&amp;refine=base_colour:4
2) Klik: Product Card Link
3) "Size Selector" dropdown-undan "UK 10" metnini seç
4) Klik: Add To Bag Button</t>
  </si>
  <si>
    <t xml:space="preserve">TC-PLP-03</t>
  </si>
  <si>
    <t xml:space="preserve">PLP</t>
  </si>
  <si>
    <t xml:space="preserve">asos-plp-clear-filters.spec / "Bütün filterlərin təmizlənməsi — TC-PLP-03"</t>
  </si>
  <si>
    <t xml:space="preserve">Bütün filterlərin təmizlənməsi</t>
  </si>
  <si>
    <t xml:space="preserve">1) Brauzer açılır, keçid: https://www.asos.com/women/dresses/cat/?cid=8799
2) Klik: Filter Button
3) Klik: Size Filter Button
4) Klik: Size Option EU 36
5) Səhifənin tam yüklənməsi gözlənilir
6) Klik: Clear Filters Button
7) Səhifənin tam yüklənməsi gözlənilir</t>
  </si>
  <si>
    <t xml:space="preserve">URL tərkibində "size:23" olmalıdır; URL "https://www.asos.com/women/dresses/cat/?cid=8799&amp;currentpricerange=5-625" olmalıdır</t>
  </si>
  <si>
    <t xml:space="preserve">TC-PLP-16</t>
  </si>
  <si>
    <t xml:space="preserve">asos-plp-controls.spec / "Filter və Sort düymələrinin mövcudluğu"</t>
  </si>
  <si>
    <t xml:space="preserve">Filter və Sort düymələrinin mövcudluğu</t>
  </si>
  <si>
    <t xml:space="preserve">1) Brauzer açılır, keçid: https://www.asos.com/women/dresses/cat/?cid=8799&amp;refine=base_colour:4</t>
  </si>
  <si>
    <t xml:space="preserve">"Filter Button" görünür olmalıdır; "Sort Button" görünür olmalıdır</t>
  </si>
  <si>
    <t xml:space="preserve">TC-PLP-17</t>
  </si>
  <si>
    <t xml:space="preserve">asos-plp-filter-brand.spec / "Brend üzrə filtrləmə"</t>
  </si>
  <si>
    <t xml:space="preserve">Brend üzrə filtrləmə</t>
  </si>
  <si>
    <t xml:space="preserve">1) Brauzer açılır, keçid: https://www.asos.com/women/dresses/cat/?cid=8799&amp;refine=base_colour:4
2) Klik: Filter Button
3) Klik: Brand Filter Button
4) Klik: Brand Option ASOS DESIGN
5) Səhifənin tam yüklənməsi gözlənilir</t>
  </si>
  <si>
    <t xml:space="preserve">URL tərkibində "brand:53" olmalıdır; Product Cards sayı &gt;= 1</t>
  </si>
  <si>
    <t xml:space="preserve">TC-PLP-18</t>
  </si>
  <si>
    <t xml:space="preserve">asos-plp-filter-colour.spec / "Rəng üzrə filtrləmə"</t>
  </si>
  <si>
    <t xml:space="preserve">Rəng üzrə filtrləmə</t>
  </si>
  <si>
    <t xml:space="preserve">1) Brauzer açılır, keçid: https://www.asos.com/women/dresses/cat/?cid=8799&amp;refine=base_colour:4
2) Klik: Filter Button
3) Klik: Colour Filter Button
4) Klik: Colour Option Brown
5) Səhifənin tam yüklənməsi gözlənilir</t>
  </si>
  <si>
    <t xml:space="preserve">URL tərkibində "base_colour:10" olmalıdır; Product Cards sayı &gt;= 1</t>
  </si>
  <si>
    <t xml:space="preserve">TC-PLP-02</t>
  </si>
  <si>
    <t xml:space="preserve">asos-plp-filter-combo.spec / "Bir neçə filterin kombinasiyası — TC-PLP-02"</t>
  </si>
  <si>
    <t xml:space="preserve">Bir neçə filterin kombinasiyası</t>
  </si>
  <si>
    <t xml:space="preserve">Pozitiv (Filter kombinasiyası)</t>
  </si>
  <si>
    <t xml:space="preserve">1) Brauzer açılır, keçid: https://www.asos.com/women/dresses/cat/?cid=8799
2) Klik: Filter Button
3) Klik: Size Filter Button
4) Klik: Size Option EU 36
5) Klik: Brand Filter Button
6) Klik: Brand Option ASOS DESIGN
7) Səhifənin tam yüklənməsi gözlənilir</t>
  </si>
  <si>
    <t xml:space="preserve">URL tərkibində "size:23" olmalıdır; URL tərkibində "brand:53" olmalıdır; Product Cards sayı &gt;= 1</t>
  </si>
  <si>
    <t xml:space="preserve">HTML report-da FAILED: span class="price_m0bg_"... elementi 10 saniyə ərzində görünmədi (locator timeout, HTML report-da FAILED). Qrading qaydasına əsasən (flaky test qəbul edilmir) regression-dan müvəqqəti çıxarılıb, aşağıdakı "Açıq Məsələlər" bölməsinə bax.</t>
  </si>
  <si>
    <t xml:space="preserve">TC-PLP-01</t>
  </si>
  <si>
    <t xml:space="preserve">asos-plp-filter-size.spec / "Tək filter tətbiqi (Size) — TC-PLP-01"</t>
  </si>
  <si>
    <t xml:space="preserve">Tək filter tətbiqi (Size)</t>
  </si>
  <si>
    <t xml:space="preserve">1) Brauzer açılır, keçid: https://www.asos.com/women/dresses/cat/?cid=8799&amp;refine=base_colour:4
2) Klik: Filter Button
3) Klik: Size Filter Button
4) Klik: Size Option EU 36
5) Səhifənin tam yüklənməsi gözlənilir</t>
  </si>
  <si>
    <t xml:space="preserve">URL tərkibində "size:23" olmalıdır; Product Cards sayı &gt;= 1</t>
  </si>
  <si>
    <t xml:space="preserve">TC-PLP-09</t>
  </si>
  <si>
    <t xml:space="preserve">asos-plp-load-more.spec / ""Load more" ilə əlavə nəticələrin yüklənməsi — TC-PLP-09"</t>
  </si>
  <si>
    <t xml:space="preserve">"Load more" ilə əlavə nəticələrin yüklənməsi</t>
  </si>
  <si>
    <t xml:space="preserve">1) Brauzer açılır, keçid: https://www.asos.com/women/dresses/cat/?cid=8799&amp;refine=base_colour:4
2) Klik: Load More Button
3) Səhifənin tam yüklənməsi gözlənilir</t>
  </si>
  <si>
    <t xml:space="preserve">Product Cards sayı &gt;= 72; Product Cards sayı &gt;= 73</t>
  </si>
  <si>
    <t xml:space="preserve">TC-PLP-11</t>
  </si>
  <si>
    <t xml:space="preserve">asos-plp-price-boundary.spec / "Qiymət filterinin minimum sərhəd dəyəri — TC-PLP-11"</t>
  </si>
  <si>
    <t xml:space="preserve">Qiymət filterinin minimum sərhəd dəyəri</t>
  </si>
  <si>
    <t xml:space="preserve">1) Brauzer açılır, keçid: https://www.asos.com/women/dresses/cat/?cid=8799
2) Klik: Filter Button
3) Klik: Price Range Filter Button
4) Klik: Price Min Slider
5) Price Min Slider üzərində ARROW_LEFT düyməsinə basılır</t>
  </si>
  <si>
    <t xml:space="preserve">Price Min Slider.aria-valuenow = 5</t>
  </si>
  <si>
    <t xml:space="preserve">TC-PLP-12</t>
  </si>
  <si>
    <t xml:space="preserve">asos-plp-price-boundary.spec / "Qiymət filterinin maksimum sərhəd dəyəri — TC-PLP-12"</t>
  </si>
  <si>
    <t xml:space="preserve">Qiymət filterinin maksimum sərhəd dəyəri</t>
  </si>
  <si>
    <t xml:space="preserve">1) Brauzer açılır, keçid: https://www.asos.com/women/dresses/cat/?cid=8799
2) Klik: Filter Button
3) Klik: Price Range Filter Button
4) Klik: Price Max Slider
5) Price Max Slider üzərində ARROW_RIGHT düyməsinə basılır</t>
  </si>
  <si>
    <t xml:space="preserve">Price Max Slider.aria-valuenow = 625</t>
  </si>
  <si>
    <t xml:space="preserve">TC-PLP-15</t>
  </si>
  <si>
    <t xml:space="preserve">asos-plp-search-filter.spec / "Axtarış nəticələri üzərində filter tətbiqi — TC-PLP-15"</t>
  </si>
  <si>
    <t xml:space="preserve">Axtarış nəticələri üzərində filter tətbiqi</t>
  </si>
  <si>
    <t xml:space="preserve">1) Brauzer açılır, keçid: https://www.asos.com
2) Səhifənin tam yüklənməsi gözlənilir
3) Klik: Filter Button
4) Klik: Size Filter Button
5) Klik: Size Option EU 36
6) Səhifənin tam yüklənməsi gözlənilir</t>
  </si>
  <si>
    <t xml:space="preserve">TC-PLP-19</t>
  </si>
  <si>
    <t xml:space="preserve">asos-plp.spec / "Kateqoriya səhifəsindən ilk məhsul kartına keçid"</t>
  </si>
  <si>
    <t xml:space="preserve">Kateqoriya səhifəsindən ilk məhsul kartına keçid</t>
  </si>
  <si>
    <t xml:space="preserve">1) Brauzer açılır, keçid: https://www.asos.com/women/dresses/cat/?cid=8799&amp;refine=base_colour:4
2) Klik: Product Card Link
3) Səhifənin tam yüklənməsi gözlənilir</t>
  </si>
  <si>
    <t xml:space="preserve">URL tərkibində "/prd/" olmalıdır</t>
  </si>
  <si>
    <t xml:space="preserve">TC-SRCH-01</t>
  </si>
  <si>
    <t xml:space="preserve">SRCH</t>
  </si>
  <si>
    <t xml:space="preserve">asos-srch.spec / "Doğru açar sözlə axtarış"</t>
  </si>
  <si>
    <t xml:space="preserve">Doğru açar sözlə axtarış</t>
  </si>
  <si>
    <t xml:space="preserve">1) Brauzer açılır, keçid: https://www.asos.com
2) Səhifənin tam yüklənməsi gözlənilir</t>
  </si>
  <si>
    <t xml:space="preserve">Product Cards sayı &gt;= 1</t>
  </si>
  <si>
    <t xml:space="preserve">TC-WISH-02</t>
  </si>
  <si>
    <t xml:space="preserve">WISH</t>
  </si>
  <si>
    <t xml:space="preserve">asos-wish-delete-item.spec / "Saxlanılan siyahıdan məhsulu silmə — TC-WISH-02"</t>
  </si>
  <si>
    <t xml:space="preserve">Saxlanılan siyahıdan məhsulu silmə</t>
  </si>
  <si>
    <t xml:space="preserve">1) Brauzer açılır, keçid: https://www.asos.com/women/dresses/cat/?cid=8799&amp;refine=base_colour:4
2) Klik: Product Card Link
3) Klik: Save Button
4) Səhifənin tam yüklənməsi gözlənilir
5) Klik: Saved Items Link
6) Klik: Wishlist Delete Button
7) Səhifənin tam yüklənməsi gözlənilir</t>
  </si>
  <si>
    <t xml:space="preserve">"Saved Item Card" elementlerinin sayı "1" olmalıdır; "Saved Item Card" elementlerinin sayı "0" olmalıdır</t>
  </si>
  <si>
    <t xml:space="preserve">TC-WISH-01</t>
  </si>
  <si>
    <t xml:space="preserve">asos-wish-save-item.spec / "PDP-dən məhsulu saxlanılan siyahıya əlavə etmə — TC-WISH-01"</t>
  </si>
  <si>
    <t xml:space="preserve">PDP-dən məhsulu saxlanılan siyahıya əlavə etmə</t>
  </si>
  <si>
    <t xml:space="preserve">1) Brauzer açılır, keçid: https://www.asos.com/women/dresses/cat/?cid=8799&amp;refine=base_colour:4
2) Klik: Product Card Link
3) Klik: Save Button
4) Səhifənin tam yüklənməsi gözlənilir
5) Klik: Saved Items Link</t>
  </si>
  <si>
    <t xml:space="preserve">Saved Item Card sayı &gt;= 1</t>
  </si>
</sst>
</file>

<file path=xl/styles.xml><?xml version="1.0" encoding="utf-8"?>
<styleSheet xmlns="http://schemas.openxmlformats.org/spreadsheetml/2006/main">
  <numFmts count="1">
    <numFmt numFmtId="164" formatCode="General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i val="true"/>
      <sz val="9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C6E0B4"/>
        <bgColor rgb="FFD9D9D9"/>
      </patternFill>
    </fill>
    <fill>
      <patternFill patternType="solid">
        <fgColor rgb="FFFFE699"/>
        <bgColor rgb="FFF8CBAD"/>
      </patternFill>
    </fill>
    <fill>
      <patternFill patternType="solid">
        <fgColor rgb="FFF8CBAD"/>
        <bgColor rgb="FFFFE699"/>
      </patternFill>
    </fill>
    <fill>
      <patternFill patternType="solid">
        <fgColor rgb="FFD9D9D9"/>
        <bgColor rgb="FFC6E0B4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1F4E78"/>
          <bgColor rgb="FF000000"/>
        </patternFill>
      </fill>
    </dxf>
    <dxf>
      <fill>
        <patternFill patternType="solid">
          <fgColor rgb="FFD9D9D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0B4"/>
          <bgColor rgb="FF000000"/>
        </patternFill>
      </fill>
    </dxf>
    <dxf>
      <fill>
        <patternFill patternType="solid">
          <fgColor rgb="FFF8CBAD"/>
          <bgColor rgb="FF000000"/>
        </patternFill>
      </fill>
    </dxf>
    <dxf>
      <fill>
        <patternFill patternType="solid">
          <fgColor rgb="FFFFE699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0B4"/>
      <rgbColor rgb="FFFFE6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8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11"/>
    <col collapsed="false" customWidth="true" hidden="false" outlineLevel="0" max="3" min="3" style="1" width="10"/>
    <col collapsed="false" customWidth="true" hidden="false" outlineLevel="0" max="4" min="4" style="1" width="46"/>
    <col collapsed="false" customWidth="true" hidden="false" outlineLevel="0" max="5" min="5" style="1" width="20"/>
    <col collapsed="false" customWidth="true" hidden="false" outlineLevel="0" max="6" min="6" style="1" width="16"/>
    <col collapsed="false" customWidth="true" hidden="false" outlineLevel="0" max="7" min="7" style="1" width="24"/>
    <col collapsed="false" customWidth="true" hidden="false" outlineLevel="0" max="8" min="8" style="1" width="26"/>
    <col collapsed="false" customWidth="true" hidden="false" outlineLevel="0" max="9" min="9" style="1" width="46"/>
  </cols>
  <sheetData>
    <row r="1" customFormat="false" ht="30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</row>
    <row r="2" customFormat="false" ht="34.5" hidden="false" customHeight="true" outlineLevel="0" collapsed="false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4" t="s">
        <v>14</v>
      </c>
      <c r="G2" s="3" t="s">
        <v>15</v>
      </c>
      <c r="H2" s="3" t="s">
        <v>16</v>
      </c>
      <c r="I2" s="3" t="s">
        <v>17</v>
      </c>
    </row>
    <row r="3" customFormat="false" ht="23.25" hidden="false" customHeight="true" outlineLevel="0" collapsed="false">
      <c r="A3" s="3" t="s">
        <v>9</v>
      </c>
      <c r="B3" s="3" t="s">
        <v>10</v>
      </c>
      <c r="C3" s="3" t="s">
        <v>18</v>
      </c>
      <c r="D3" s="3" t="s">
        <v>19</v>
      </c>
      <c r="E3" s="3" t="s">
        <v>13</v>
      </c>
      <c r="F3" s="4" t="s">
        <v>14</v>
      </c>
      <c r="G3" s="3" t="s">
        <v>15</v>
      </c>
      <c r="H3" s="3" t="s">
        <v>20</v>
      </c>
      <c r="I3" s="3"/>
    </row>
    <row r="4" customFormat="false" ht="23.25" hidden="false" customHeight="true" outlineLevel="0" collapsed="false">
      <c r="A4" s="3" t="s">
        <v>9</v>
      </c>
      <c r="B4" s="3" t="s">
        <v>10</v>
      </c>
      <c r="C4" s="3" t="s">
        <v>21</v>
      </c>
      <c r="D4" s="3" t="s">
        <v>22</v>
      </c>
      <c r="E4" s="3" t="s">
        <v>13</v>
      </c>
      <c r="F4" s="4" t="s">
        <v>14</v>
      </c>
      <c r="G4" s="3" t="s">
        <v>15</v>
      </c>
      <c r="H4" s="3" t="s">
        <v>23</v>
      </c>
      <c r="I4" s="3"/>
    </row>
    <row r="5" customFormat="false" ht="23.25" hidden="false" customHeight="true" outlineLevel="0" collapsed="false">
      <c r="A5" s="3" t="s">
        <v>9</v>
      </c>
      <c r="B5" s="3" t="s">
        <v>10</v>
      </c>
      <c r="C5" s="3" t="s">
        <v>24</v>
      </c>
      <c r="D5" s="3" t="s">
        <v>25</v>
      </c>
      <c r="E5" s="3" t="s">
        <v>13</v>
      </c>
      <c r="F5" s="4" t="s">
        <v>14</v>
      </c>
      <c r="G5" s="3" t="s">
        <v>15</v>
      </c>
      <c r="H5" s="3" t="s">
        <v>26</v>
      </c>
      <c r="I5" s="3" t="s">
        <v>27</v>
      </c>
    </row>
    <row r="6" customFormat="false" ht="23.25" hidden="false" customHeight="true" outlineLevel="0" collapsed="false">
      <c r="A6" s="3" t="s">
        <v>9</v>
      </c>
      <c r="B6" s="3" t="s">
        <v>10</v>
      </c>
      <c r="C6" s="3" t="s">
        <v>28</v>
      </c>
      <c r="D6" s="3" t="s">
        <v>29</v>
      </c>
      <c r="E6" s="3" t="s">
        <v>13</v>
      </c>
      <c r="F6" s="4" t="s">
        <v>14</v>
      </c>
      <c r="G6" s="3" t="s">
        <v>15</v>
      </c>
      <c r="H6" s="3" t="s">
        <v>30</v>
      </c>
      <c r="I6" s="3" t="s">
        <v>31</v>
      </c>
    </row>
    <row r="7" customFormat="false" ht="23.25" hidden="false" customHeight="true" outlineLevel="0" collapsed="false">
      <c r="A7" s="3" t="s">
        <v>9</v>
      </c>
      <c r="B7" s="3" t="s">
        <v>10</v>
      </c>
      <c r="C7" s="3" t="s">
        <v>32</v>
      </c>
      <c r="D7" s="3" t="s">
        <v>33</v>
      </c>
      <c r="E7" s="3" t="s">
        <v>13</v>
      </c>
      <c r="F7" s="4" t="s">
        <v>14</v>
      </c>
      <c r="G7" s="3" t="s">
        <v>15</v>
      </c>
      <c r="H7" s="3" t="s">
        <v>34</v>
      </c>
      <c r="I7" s="3"/>
    </row>
    <row r="8" customFormat="false" ht="23.25" hidden="false" customHeight="true" outlineLevel="0" collapsed="false">
      <c r="A8" s="3" t="s">
        <v>9</v>
      </c>
      <c r="B8" s="3" t="s">
        <v>10</v>
      </c>
      <c r="C8" s="3" t="s">
        <v>35</v>
      </c>
      <c r="D8" s="3" t="s">
        <v>36</v>
      </c>
      <c r="E8" s="3" t="s">
        <v>13</v>
      </c>
      <c r="F8" s="4" t="s">
        <v>14</v>
      </c>
      <c r="G8" s="3" t="s">
        <v>15</v>
      </c>
      <c r="H8" s="3" t="s">
        <v>37</v>
      </c>
      <c r="I8" s="3"/>
    </row>
    <row r="9" customFormat="false" ht="23.25" hidden="false" customHeight="true" outlineLevel="0" collapsed="false">
      <c r="A9" s="3" t="s">
        <v>9</v>
      </c>
      <c r="B9" s="3" t="s">
        <v>10</v>
      </c>
      <c r="C9" s="3" t="s">
        <v>38</v>
      </c>
      <c r="D9" s="3" t="s">
        <v>39</v>
      </c>
      <c r="E9" s="3" t="s">
        <v>13</v>
      </c>
      <c r="F9" s="4" t="s">
        <v>14</v>
      </c>
      <c r="G9" s="3" t="s">
        <v>15</v>
      </c>
      <c r="H9" s="3" t="s">
        <v>40</v>
      </c>
      <c r="I9" s="3"/>
    </row>
    <row r="10" customFormat="false" ht="23.25" hidden="false" customHeight="true" outlineLevel="0" collapsed="false">
      <c r="A10" s="3" t="s">
        <v>9</v>
      </c>
      <c r="B10" s="3" t="s">
        <v>10</v>
      </c>
      <c r="C10" s="3" t="s">
        <v>41</v>
      </c>
      <c r="D10" s="3" t="s">
        <v>42</v>
      </c>
      <c r="E10" s="3" t="s">
        <v>13</v>
      </c>
      <c r="F10" s="4" t="s">
        <v>14</v>
      </c>
      <c r="G10" s="3" t="s">
        <v>15</v>
      </c>
      <c r="H10" s="3" t="s">
        <v>43</v>
      </c>
      <c r="I10" s="3"/>
    </row>
    <row r="11" customFormat="false" ht="23.25" hidden="false" customHeight="true" outlineLevel="0" collapsed="false">
      <c r="A11" s="3" t="s">
        <v>9</v>
      </c>
      <c r="B11" s="3" t="s">
        <v>10</v>
      </c>
      <c r="C11" s="3" t="s">
        <v>44</v>
      </c>
      <c r="D11" s="3" t="s">
        <v>45</v>
      </c>
      <c r="E11" s="3" t="s">
        <v>13</v>
      </c>
      <c r="F11" s="4" t="s">
        <v>14</v>
      </c>
      <c r="G11" s="3" t="s">
        <v>15</v>
      </c>
      <c r="H11" s="3" t="s">
        <v>46</v>
      </c>
      <c r="I11" s="3"/>
    </row>
    <row r="12" customFormat="false" ht="34.5" hidden="false" customHeight="true" outlineLevel="0" collapsed="false">
      <c r="A12" s="3" t="s">
        <v>9</v>
      </c>
      <c r="B12" s="3" t="s">
        <v>10</v>
      </c>
      <c r="C12" s="3" t="s">
        <v>47</v>
      </c>
      <c r="D12" s="3" t="s">
        <v>48</v>
      </c>
      <c r="E12" s="3" t="s">
        <v>13</v>
      </c>
      <c r="F12" s="4" t="s">
        <v>49</v>
      </c>
      <c r="G12" s="3" t="s">
        <v>15</v>
      </c>
      <c r="H12" s="3" t="s">
        <v>50</v>
      </c>
      <c r="I12" s="3" t="s">
        <v>51</v>
      </c>
    </row>
    <row r="13" customFormat="false" ht="23.25" hidden="false" customHeight="true" outlineLevel="0" collapsed="false">
      <c r="A13" s="3" t="s">
        <v>9</v>
      </c>
      <c r="B13" s="3" t="s">
        <v>52</v>
      </c>
      <c r="C13" s="3" t="s">
        <v>11</v>
      </c>
      <c r="D13" s="3" t="s">
        <v>53</v>
      </c>
      <c r="E13" s="3" t="s">
        <v>54</v>
      </c>
      <c r="F13" s="4" t="s">
        <v>14</v>
      </c>
      <c r="G13" s="3" t="s">
        <v>55</v>
      </c>
      <c r="H13" s="3" t="s">
        <v>56</v>
      </c>
      <c r="I13" s="3"/>
    </row>
    <row r="14" customFormat="false" ht="23.25" hidden="false" customHeight="true" outlineLevel="0" collapsed="false">
      <c r="A14" s="3" t="s">
        <v>9</v>
      </c>
      <c r="B14" s="3" t="s">
        <v>52</v>
      </c>
      <c r="C14" s="3" t="s">
        <v>18</v>
      </c>
      <c r="D14" s="3" t="s">
        <v>57</v>
      </c>
      <c r="E14" s="3" t="s">
        <v>54</v>
      </c>
      <c r="F14" s="4" t="s">
        <v>14</v>
      </c>
      <c r="G14" s="3" t="s">
        <v>55</v>
      </c>
      <c r="H14" s="3" t="s">
        <v>58</v>
      </c>
      <c r="I14" s="3"/>
    </row>
    <row r="15" customFormat="false" ht="68.25" hidden="false" customHeight="true" outlineLevel="0" collapsed="false">
      <c r="A15" s="3" t="s">
        <v>9</v>
      </c>
      <c r="B15" s="3" t="s">
        <v>52</v>
      </c>
      <c r="C15" s="3" t="s">
        <v>21</v>
      </c>
      <c r="D15" s="3" t="s">
        <v>59</v>
      </c>
      <c r="E15" s="3" t="s">
        <v>54</v>
      </c>
      <c r="F15" s="5" t="s">
        <v>60</v>
      </c>
      <c r="G15" s="3" t="s">
        <v>55</v>
      </c>
      <c r="H15" s="3" t="s">
        <v>61</v>
      </c>
      <c r="I15" s="3" t="s">
        <v>62</v>
      </c>
    </row>
    <row r="16" customFormat="false" ht="23.25" hidden="false" customHeight="true" outlineLevel="0" collapsed="false">
      <c r="A16" s="3" t="s">
        <v>9</v>
      </c>
      <c r="B16" s="3" t="s">
        <v>52</v>
      </c>
      <c r="C16" s="3" t="s">
        <v>24</v>
      </c>
      <c r="D16" s="3" t="s">
        <v>63</v>
      </c>
      <c r="E16" s="3" t="s">
        <v>54</v>
      </c>
      <c r="F16" s="4" t="s">
        <v>14</v>
      </c>
      <c r="G16" s="3" t="s">
        <v>55</v>
      </c>
      <c r="H16" s="3" t="s">
        <v>64</v>
      </c>
      <c r="I16" s="3"/>
    </row>
    <row r="17" customFormat="false" ht="23.25" hidden="false" customHeight="true" outlineLevel="0" collapsed="false">
      <c r="A17" s="3" t="s">
        <v>9</v>
      </c>
      <c r="B17" s="3" t="s">
        <v>52</v>
      </c>
      <c r="C17" s="3" t="s">
        <v>28</v>
      </c>
      <c r="D17" s="3" t="s">
        <v>65</v>
      </c>
      <c r="E17" s="3" t="s">
        <v>54</v>
      </c>
      <c r="F17" s="4" t="s">
        <v>14</v>
      </c>
      <c r="G17" s="3" t="s">
        <v>55</v>
      </c>
      <c r="H17" s="3" t="s">
        <v>66</v>
      </c>
      <c r="I17" s="3"/>
    </row>
    <row r="18" customFormat="false" ht="23.25" hidden="false" customHeight="true" outlineLevel="0" collapsed="false">
      <c r="A18" s="3" t="s">
        <v>9</v>
      </c>
      <c r="B18" s="3" t="s">
        <v>52</v>
      </c>
      <c r="C18" s="3" t="s">
        <v>32</v>
      </c>
      <c r="D18" s="3" t="s">
        <v>67</v>
      </c>
      <c r="E18" s="3" t="s">
        <v>54</v>
      </c>
      <c r="F18" s="4" t="s">
        <v>14</v>
      </c>
      <c r="G18" s="3" t="s">
        <v>55</v>
      </c>
      <c r="H18" s="3" t="s">
        <v>68</v>
      </c>
      <c r="I18" s="3"/>
    </row>
    <row r="19" customFormat="false" ht="23.25" hidden="false" customHeight="true" outlineLevel="0" collapsed="false">
      <c r="A19" s="3" t="s">
        <v>9</v>
      </c>
      <c r="B19" s="3" t="s">
        <v>52</v>
      </c>
      <c r="C19" s="3" t="s">
        <v>35</v>
      </c>
      <c r="D19" s="3" t="s">
        <v>69</v>
      </c>
      <c r="E19" s="3" t="s">
        <v>54</v>
      </c>
      <c r="F19" s="4" t="s">
        <v>14</v>
      </c>
      <c r="G19" s="3" t="s">
        <v>55</v>
      </c>
      <c r="H19" s="3" t="s">
        <v>70</v>
      </c>
      <c r="I19" s="3"/>
    </row>
    <row r="20" customFormat="false" ht="45.75" hidden="false" customHeight="true" outlineLevel="0" collapsed="false">
      <c r="A20" s="3" t="s">
        <v>9</v>
      </c>
      <c r="B20" s="3" t="s">
        <v>52</v>
      </c>
      <c r="C20" s="3" t="s">
        <v>47</v>
      </c>
      <c r="D20" s="3" t="s">
        <v>71</v>
      </c>
      <c r="E20" s="3" t="s">
        <v>54</v>
      </c>
      <c r="F20" s="4" t="s">
        <v>49</v>
      </c>
      <c r="G20" s="3" t="s">
        <v>55</v>
      </c>
      <c r="H20" s="3" t="s">
        <v>72</v>
      </c>
      <c r="I20" s="3" t="s">
        <v>73</v>
      </c>
    </row>
    <row r="21" customFormat="false" ht="23.25" hidden="false" customHeight="true" outlineLevel="0" collapsed="false">
      <c r="A21" s="3" t="s">
        <v>9</v>
      </c>
      <c r="B21" s="3" t="s">
        <v>74</v>
      </c>
      <c r="C21" s="3" t="s">
        <v>11</v>
      </c>
      <c r="D21" s="3" t="s">
        <v>75</v>
      </c>
      <c r="E21" s="3" t="s">
        <v>76</v>
      </c>
      <c r="F21" s="4" t="s">
        <v>14</v>
      </c>
      <c r="G21" s="3" t="s">
        <v>77</v>
      </c>
      <c r="H21" s="3" t="s">
        <v>78</v>
      </c>
      <c r="I21" s="3"/>
    </row>
    <row r="22" customFormat="false" ht="23.25" hidden="false" customHeight="true" outlineLevel="0" collapsed="false">
      <c r="A22" s="3" t="s">
        <v>9</v>
      </c>
      <c r="B22" s="3" t="s">
        <v>74</v>
      </c>
      <c r="C22" s="3" t="s">
        <v>18</v>
      </c>
      <c r="D22" s="3" t="s">
        <v>79</v>
      </c>
      <c r="E22" s="3" t="s">
        <v>76</v>
      </c>
      <c r="F22" s="4" t="s">
        <v>14</v>
      </c>
      <c r="G22" s="3" t="s">
        <v>77</v>
      </c>
      <c r="H22" s="3" t="s">
        <v>80</v>
      </c>
      <c r="I22" s="3"/>
    </row>
    <row r="23" customFormat="false" ht="23.25" hidden="false" customHeight="true" outlineLevel="0" collapsed="false">
      <c r="A23" s="3" t="s">
        <v>9</v>
      </c>
      <c r="B23" s="3" t="s">
        <v>74</v>
      </c>
      <c r="C23" s="3" t="s">
        <v>21</v>
      </c>
      <c r="D23" s="3" t="s">
        <v>81</v>
      </c>
      <c r="E23" s="3" t="s">
        <v>76</v>
      </c>
      <c r="F23" s="4" t="s">
        <v>14</v>
      </c>
      <c r="G23" s="3" t="s">
        <v>77</v>
      </c>
      <c r="H23" s="3" t="s">
        <v>82</v>
      </c>
      <c r="I23" s="3"/>
    </row>
    <row r="24" customFormat="false" ht="23.25" hidden="false" customHeight="true" outlineLevel="0" collapsed="false">
      <c r="A24" s="3" t="s">
        <v>9</v>
      </c>
      <c r="B24" s="3" t="s">
        <v>74</v>
      </c>
      <c r="C24" s="3" t="s">
        <v>24</v>
      </c>
      <c r="D24" s="3" t="s">
        <v>83</v>
      </c>
      <c r="E24" s="3" t="s">
        <v>76</v>
      </c>
      <c r="F24" s="4" t="s">
        <v>14</v>
      </c>
      <c r="G24" s="3" t="s">
        <v>77</v>
      </c>
      <c r="H24" s="3" t="s">
        <v>84</v>
      </c>
      <c r="I24" s="3"/>
    </row>
    <row r="25" customFormat="false" ht="34.5" hidden="false" customHeight="true" outlineLevel="0" collapsed="false">
      <c r="A25" s="3" t="s">
        <v>9</v>
      </c>
      <c r="B25" s="3" t="s">
        <v>74</v>
      </c>
      <c r="C25" s="3" t="s">
        <v>47</v>
      </c>
      <c r="D25" s="3" t="s">
        <v>85</v>
      </c>
      <c r="E25" s="3" t="s">
        <v>76</v>
      </c>
      <c r="F25" s="4" t="s">
        <v>49</v>
      </c>
      <c r="G25" s="3" t="s">
        <v>77</v>
      </c>
      <c r="H25" s="3" t="s">
        <v>86</v>
      </c>
      <c r="I25" s="3"/>
    </row>
    <row r="26" customFormat="false" ht="34.5" hidden="false" customHeight="true" outlineLevel="0" collapsed="false">
      <c r="A26" s="3" t="s">
        <v>87</v>
      </c>
      <c r="B26" s="3" t="s">
        <v>88</v>
      </c>
      <c r="C26" s="3" t="s">
        <v>11</v>
      </c>
      <c r="D26" s="3" t="s">
        <v>89</v>
      </c>
      <c r="E26" s="3" t="s">
        <v>13</v>
      </c>
      <c r="F26" s="4" t="s">
        <v>14</v>
      </c>
      <c r="G26" s="3" t="s">
        <v>90</v>
      </c>
      <c r="H26" s="3" t="s">
        <v>91</v>
      </c>
      <c r="I26" s="3"/>
    </row>
    <row r="27" customFormat="false" ht="34.5" hidden="false" customHeight="true" outlineLevel="0" collapsed="false">
      <c r="A27" s="3" t="s">
        <v>87</v>
      </c>
      <c r="B27" s="3" t="s">
        <v>88</v>
      </c>
      <c r="C27" s="3" t="s">
        <v>18</v>
      </c>
      <c r="D27" s="3" t="s">
        <v>92</v>
      </c>
      <c r="E27" s="3" t="s">
        <v>13</v>
      </c>
      <c r="F27" s="5" t="s">
        <v>60</v>
      </c>
      <c r="G27" s="3" t="s">
        <v>90</v>
      </c>
      <c r="H27" s="3" t="s">
        <v>93</v>
      </c>
      <c r="I27" s="3" t="s">
        <v>94</v>
      </c>
    </row>
    <row r="28" customFormat="false" ht="15" hidden="false" customHeight="true" outlineLevel="0" collapsed="false">
      <c r="A28" s="3" t="s">
        <v>87</v>
      </c>
      <c r="B28" s="3" t="s">
        <v>88</v>
      </c>
      <c r="C28" s="3" t="s">
        <v>21</v>
      </c>
      <c r="D28" s="3" t="s">
        <v>95</v>
      </c>
      <c r="E28" s="3" t="s">
        <v>13</v>
      </c>
      <c r="F28" s="4" t="s">
        <v>14</v>
      </c>
      <c r="G28" s="3" t="s">
        <v>90</v>
      </c>
      <c r="H28" s="3" t="s">
        <v>96</v>
      </c>
      <c r="I28" s="3"/>
    </row>
    <row r="29" customFormat="false" ht="15" hidden="false" customHeight="true" outlineLevel="0" collapsed="false">
      <c r="A29" s="3" t="s">
        <v>87</v>
      </c>
      <c r="B29" s="3" t="s">
        <v>88</v>
      </c>
      <c r="C29" s="3" t="s">
        <v>24</v>
      </c>
      <c r="D29" s="3" t="s">
        <v>97</v>
      </c>
      <c r="E29" s="3" t="s">
        <v>13</v>
      </c>
      <c r="F29" s="4" t="s">
        <v>14</v>
      </c>
      <c r="G29" s="3" t="s">
        <v>90</v>
      </c>
      <c r="H29" s="3" t="s">
        <v>98</v>
      </c>
      <c r="I29" s="3"/>
    </row>
    <row r="30" customFormat="false" ht="23.25" hidden="false" customHeight="true" outlineLevel="0" collapsed="false">
      <c r="A30" s="3" t="s">
        <v>87</v>
      </c>
      <c r="B30" s="3" t="s">
        <v>88</v>
      </c>
      <c r="C30" s="3" t="s">
        <v>28</v>
      </c>
      <c r="D30" s="3" t="s">
        <v>99</v>
      </c>
      <c r="E30" s="3" t="s">
        <v>13</v>
      </c>
      <c r="F30" s="4" t="s">
        <v>14</v>
      </c>
      <c r="G30" s="3" t="s">
        <v>90</v>
      </c>
      <c r="H30" s="3" t="s">
        <v>100</v>
      </c>
      <c r="I30" s="3"/>
    </row>
    <row r="31" customFormat="false" ht="23.25" hidden="false" customHeight="true" outlineLevel="0" collapsed="false">
      <c r="A31" s="3" t="s">
        <v>87</v>
      </c>
      <c r="B31" s="3" t="s">
        <v>88</v>
      </c>
      <c r="C31" s="3" t="s">
        <v>32</v>
      </c>
      <c r="D31" s="3" t="s">
        <v>101</v>
      </c>
      <c r="E31" s="3" t="s">
        <v>13</v>
      </c>
      <c r="F31" s="6" t="s">
        <v>102</v>
      </c>
      <c r="G31" s="3" t="s">
        <v>90</v>
      </c>
      <c r="H31" s="3" t="s">
        <v>103</v>
      </c>
      <c r="I31" s="3" t="s">
        <v>104</v>
      </c>
    </row>
    <row r="32" customFormat="false" ht="23.25" hidden="false" customHeight="true" outlineLevel="0" collapsed="false">
      <c r="A32" s="3" t="s">
        <v>87</v>
      </c>
      <c r="B32" s="3" t="s">
        <v>88</v>
      </c>
      <c r="C32" s="3" t="s">
        <v>35</v>
      </c>
      <c r="D32" s="3" t="s">
        <v>105</v>
      </c>
      <c r="E32" s="3" t="s">
        <v>13</v>
      </c>
      <c r="F32" s="4" t="s">
        <v>14</v>
      </c>
      <c r="G32" s="3" t="s">
        <v>90</v>
      </c>
      <c r="H32" s="3" t="s">
        <v>106</v>
      </c>
      <c r="I32" s="3"/>
    </row>
    <row r="33" customFormat="false" ht="23.25" hidden="false" customHeight="true" outlineLevel="0" collapsed="false">
      <c r="A33" s="3" t="s">
        <v>87</v>
      </c>
      <c r="B33" s="3" t="s">
        <v>88</v>
      </c>
      <c r="C33" s="3" t="s">
        <v>38</v>
      </c>
      <c r="D33" s="3" t="s">
        <v>107</v>
      </c>
      <c r="E33" s="3" t="s">
        <v>13</v>
      </c>
      <c r="F33" s="6" t="s">
        <v>102</v>
      </c>
      <c r="G33" s="3" t="s">
        <v>90</v>
      </c>
      <c r="H33" s="3" t="s">
        <v>103</v>
      </c>
      <c r="I33" s="3" t="s">
        <v>108</v>
      </c>
    </row>
    <row r="34" customFormat="false" ht="45.75" hidden="false" customHeight="true" outlineLevel="0" collapsed="false">
      <c r="A34" s="3" t="s">
        <v>87</v>
      </c>
      <c r="B34" s="3" t="s">
        <v>88</v>
      </c>
      <c r="C34" s="3" t="s">
        <v>47</v>
      </c>
      <c r="D34" s="3" t="s">
        <v>109</v>
      </c>
      <c r="E34" s="3" t="s">
        <v>13</v>
      </c>
      <c r="F34" s="4" t="s">
        <v>49</v>
      </c>
      <c r="G34" s="3" t="s">
        <v>90</v>
      </c>
      <c r="H34" s="3" t="s">
        <v>110</v>
      </c>
      <c r="I34" s="3" t="s">
        <v>111</v>
      </c>
    </row>
    <row r="35" customFormat="false" ht="23.25" hidden="false" customHeight="true" outlineLevel="0" collapsed="false">
      <c r="A35" s="3" t="s">
        <v>87</v>
      </c>
      <c r="B35" s="3" t="s">
        <v>112</v>
      </c>
      <c r="C35" s="3" t="s">
        <v>11</v>
      </c>
      <c r="D35" s="3" t="s">
        <v>113</v>
      </c>
      <c r="E35" s="3" t="s">
        <v>76</v>
      </c>
      <c r="F35" s="4" t="s">
        <v>14</v>
      </c>
      <c r="G35" s="3" t="s">
        <v>114</v>
      </c>
      <c r="H35" s="3" t="s">
        <v>115</v>
      </c>
      <c r="I35" s="3"/>
    </row>
    <row r="36" customFormat="false" ht="34.5" hidden="false" customHeight="true" outlineLevel="0" collapsed="false">
      <c r="A36" s="3" t="s">
        <v>87</v>
      </c>
      <c r="B36" s="3" t="s">
        <v>112</v>
      </c>
      <c r="C36" s="3" t="s">
        <v>18</v>
      </c>
      <c r="D36" s="3" t="s">
        <v>116</v>
      </c>
      <c r="E36" s="3" t="s">
        <v>76</v>
      </c>
      <c r="F36" s="5" t="s">
        <v>60</v>
      </c>
      <c r="G36" s="3" t="s">
        <v>114</v>
      </c>
      <c r="H36" s="3" t="s">
        <v>117</v>
      </c>
      <c r="I36" s="3" t="s">
        <v>118</v>
      </c>
    </row>
    <row r="37" customFormat="false" ht="23.25" hidden="false" customHeight="true" outlineLevel="0" collapsed="false">
      <c r="A37" s="3" t="s">
        <v>87</v>
      </c>
      <c r="B37" s="3" t="s">
        <v>112</v>
      </c>
      <c r="C37" s="3" t="s">
        <v>21</v>
      </c>
      <c r="D37" s="3" t="s">
        <v>119</v>
      </c>
      <c r="E37" s="3" t="s">
        <v>76</v>
      </c>
      <c r="F37" s="4" t="s">
        <v>14</v>
      </c>
      <c r="G37" s="3" t="s">
        <v>114</v>
      </c>
      <c r="H37" s="3" t="s">
        <v>120</v>
      </c>
      <c r="I37" s="3"/>
    </row>
    <row r="38" customFormat="false" ht="23.25" hidden="false" customHeight="true" outlineLevel="0" collapsed="false">
      <c r="A38" s="3" t="s">
        <v>87</v>
      </c>
      <c r="B38" s="3" t="s">
        <v>112</v>
      </c>
      <c r="C38" s="3" t="s">
        <v>47</v>
      </c>
      <c r="D38" s="3" t="s">
        <v>121</v>
      </c>
      <c r="E38" s="3" t="s">
        <v>76</v>
      </c>
      <c r="F38" s="4" t="s">
        <v>49</v>
      </c>
      <c r="G38" s="3" t="s">
        <v>114</v>
      </c>
      <c r="H38" s="3" t="s">
        <v>122</v>
      </c>
      <c r="I38" s="3"/>
    </row>
    <row r="39" customFormat="false" ht="57" hidden="false" customHeight="true" outlineLevel="0" collapsed="false">
      <c r="A39" s="3" t="s">
        <v>87</v>
      </c>
      <c r="B39" s="3" t="s">
        <v>123</v>
      </c>
      <c r="C39" s="3" t="s">
        <v>11</v>
      </c>
      <c r="D39" s="3" t="s">
        <v>124</v>
      </c>
      <c r="E39" s="3" t="s">
        <v>125</v>
      </c>
      <c r="F39" s="4" t="s">
        <v>14</v>
      </c>
      <c r="G39" s="3" t="s">
        <v>126</v>
      </c>
      <c r="H39" s="3" t="s">
        <v>127</v>
      </c>
      <c r="I39" s="3"/>
    </row>
    <row r="40" customFormat="false" ht="57" hidden="false" customHeight="true" outlineLevel="0" collapsed="false">
      <c r="A40" s="3" t="s">
        <v>87</v>
      </c>
      <c r="B40" s="3" t="s">
        <v>123</v>
      </c>
      <c r="C40" s="3" t="s">
        <v>18</v>
      </c>
      <c r="D40" s="3" t="s">
        <v>128</v>
      </c>
      <c r="E40" s="3" t="s">
        <v>125</v>
      </c>
      <c r="F40" s="4" t="s">
        <v>14</v>
      </c>
      <c r="G40" s="3" t="s">
        <v>126</v>
      </c>
      <c r="H40" s="3" t="s">
        <v>129</v>
      </c>
      <c r="I40" s="3"/>
    </row>
    <row r="41" customFormat="false" ht="57" hidden="false" customHeight="true" outlineLevel="0" collapsed="false">
      <c r="A41" s="3" t="s">
        <v>87</v>
      </c>
      <c r="B41" s="3" t="s">
        <v>123</v>
      </c>
      <c r="C41" s="3" t="s">
        <v>21</v>
      </c>
      <c r="D41" s="3" t="s">
        <v>130</v>
      </c>
      <c r="E41" s="3" t="s">
        <v>125</v>
      </c>
      <c r="F41" s="4" t="s">
        <v>14</v>
      </c>
      <c r="G41" s="3" t="s">
        <v>126</v>
      </c>
      <c r="H41" s="3" t="s">
        <v>131</v>
      </c>
      <c r="I41" s="3"/>
    </row>
    <row r="42" customFormat="false" ht="57" hidden="false" customHeight="true" outlineLevel="0" collapsed="false">
      <c r="A42" s="3" t="s">
        <v>87</v>
      </c>
      <c r="B42" s="3" t="s">
        <v>123</v>
      </c>
      <c r="C42" s="3" t="s">
        <v>24</v>
      </c>
      <c r="D42" s="3" t="s">
        <v>132</v>
      </c>
      <c r="E42" s="3" t="s">
        <v>125</v>
      </c>
      <c r="F42" s="4" t="s">
        <v>14</v>
      </c>
      <c r="G42" s="3" t="s">
        <v>126</v>
      </c>
      <c r="H42" s="3" t="s">
        <v>133</v>
      </c>
      <c r="I42" s="3"/>
    </row>
    <row r="43" customFormat="false" ht="57" hidden="false" customHeight="true" outlineLevel="0" collapsed="false">
      <c r="A43" s="3" t="s">
        <v>87</v>
      </c>
      <c r="B43" s="3" t="s">
        <v>123</v>
      </c>
      <c r="C43" s="3" t="s">
        <v>28</v>
      </c>
      <c r="D43" s="3" t="s">
        <v>134</v>
      </c>
      <c r="E43" s="3" t="s">
        <v>125</v>
      </c>
      <c r="F43" s="5" t="s">
        <v>60</v>
      </c>
      <c r="G43" s="3" t="s">
        <v>126</v>
      </c>
      <c r="H43" s="3" t="s">
        <v>135</v>
      </c>
      <c r="I43" s="3" t="s">
        <v>136</v>
      </c>
    </row>
    <row r="44" customFormat="false" ht="57" hidden="false" customHeight="true" outlineLevel="0" collapsed="false">
      <c r="A44" s="3" t="s">
        <v>87</v>
      </c>
      <c r="B44" s="3" t="s">
        <v>123</v>
      </c>
      <c r="C44" s="3" t="s">
        <v>32</v>
      </c>
      <c r="D44" s="3" t="s">
        <v>137</v>
      </c>
      <c r="E44" s="3" t="s">
        <v>125</v>
      </c>
      <c r="F44" s="4" t="s">
        <v>14</v>
      </c>
      <c r="G44" s="3" t="s">
        <v>126</v>
      </c>
      <c r="H44" s="3" t="s">
        <v>138</v>
      </c>
      <c r="I44" s="3"/>
    </row>
    <row r="45" customFormat="false" ht="57" hidden="false" customHeight="true" outlineLevel="0" collapsed="false">
      <c r="A45" s="3" t="s">
        <v>87</v>
      </c>
      <c r="B45" s="3" t="s">
        <v>123</v>
      </c>
      <c r="C45" s="3" t="s">
        <v>35</v>
      </c>
      <c r="D45" s="3" t="s">
        <v>139</v>
      </c>
      <c r="E45" s="3" t="s">
        <v>125</v>
      </c>
      <c r="F45" s="4" t="s">
        <v>140</v>
      </c>
      <c r="G45" s="3" t="s">
        <v>126</v>
      </c>
      <c r="H45" s="3" t="s">
        <v>141</v>
      </c>
      <c r="I45" s="3" t="s">
        <v>142</v>
      </c>
    </row>
    <row r="46" customFormat="false" ht="57" hidden="false" customHeight="true" outlineLevel="0" collapsed="false">
      <c r="A46" s="3" t="s">
        <v>87</v>
      </c>
      <c r="B46" s="3" t="s">
        <v>123</v>
      </c>
      <c r="C46" s="3" t="s">
        <v>47</v>
      </c>
      <c r="D46" s="3" t="s">
        <v>143</v>
      </c>
      <c r="E46" s="3" t="s">
        <v>125</v>
      </c>
      <c r="F46" s="4" t="s">
        <v>49</v>
      </c>
      <c r="G46" s="3" t="s">
        <v>126</v>
      </c>
      <c r="H46" s="3" t="s">
        <v>144</v>
      </c>
      <c r="I46" s="3"/>
    </row>
    <row r="47" customFormat="false" ht="57" hidden="false" customHeight="true" outlineLevel="0" collapsed="false">
      <c r="A47" s="3" t="s">
        <v>87</v>
      </c>
      <c r="B47" s="3" t="s">
        <v>123</v>
      </c>
      <c r="C47" s="3" t="s">
        <v>145</v>
      </c>
      <c r="D47" s="3" t="s">
        <v>146</v>
      </c>
      <c r="E47" s="3" t="s">
        <v>125</v>
      </c>
      <c r="F47" s="6" t="s">
        <v>102</v>
      </c>
      <c r="G47" s="3" t="s">
        <v>126</v>
      </c>
      <c r="H47" s="3" t="s">
        <v>103</v>
      </c>
      <c r="I47" s="3" t="s">
        <v>147</v>
      </c>
    </row>
    <row r="48" customFormat="false" ht="23.25" hidden="false" customHeight="true" outlineLevel="0" collapsed="false">
      <c r="A48" s="3" t="s">
        <v>87</v>
      </c>
      <c r="B48" s="3" t="s">
        <v>148</v>
      </c>
      <c r="C48" s="3" t="s">
        <v>11</v>
      </c>
      <c r="D48" s="3" t="s">
        <v>149</v>
      </c>
      <c r="E48" s="3" t="s">
        <v>76</v>
      </c>
      <c r="F48" s="4" t="s">
        <v>14</v>
      </c>
      <c r="G48" s="3" t="s">
        <v>150</v>
      </c>
      <c r="H48" s="3" t="s">
        <v>151</v>
      </c>
      <c r="I48" s="3"/>
    </row>
    <row r="49" customFormat="false" ht="15" hidden="false" customHeight="true" outlineLevel="0" collapsed="false">
      <c r="A49" s="3" t="s">
        <v>87</v>
      </c>
      <c r="B49" s="3" t="s">
        <v>148</v>
      </c>
      <c r="C49" s="3" t="s">
        <v>18</v>
      </c>
      <c r="D49" s="3" t="s">
        <v>152</v>
      </c>
      <c r="E49" s="3" t="s">
        <v>76</v>
      </c>
      <c r="F49" s="4" t="s">
        <v>14</v>
      </c>
      <c r="G49" s="3" t="s">
        <v>150</v>
      </c>
      <c r="H49" s="3" t="s">
        <v>153</v>
      </c>
      <c r="I49" s="3"/>
    </row>
    <row r="50" customFormat="false" ht="23.25" hidden="false" customHeight="true" outlineLevel="0" collapsed="false">
      <c r="A50" s="3" t="s">
        <v>87</v>
      </c>
      <c r="B50" s="3" t="s">
        <v>148</v>
      </c>
      <c r="C50" s="3" t="s">
        <v>21</v>
      </c>
      <c r="D50" s="3" t="s">
        <v>154</v>
      </c>
      <c r="E50" s="3" t="s">
        <v>76</v>
      </c>
      <c r="F50" s="4" t="s">
        <v>14</v>
      </c>
      <c r="G50" s="3" t="s">
        <v>150</v>
      </c>
      <c r="H50" s="3" t="s">
        <v>155</v>
      </c>
      <c r="I50" s="3"/>
    </row>
    <row r="51" customFormat="false" ht="23.25" hidden="false" customHeight="true" outlineLevel="0" collapsed="false">
      <c r="A51" s="3" t="s">
        <v>87</v>
      </c>
      <c r="B51" s="3" t="s">
        <v>148</v>
      </c>
      <c r="C51" s="3" t="s">
        <v>24</v>
      </c>
      <c r="D51" s="3" t="s">
        <v>156</v>
      </c>
      <c r="E51" s="3" t="s">
        <v>76</v>
      </c>
      <c r="F51" s="6" t="s">
        <v>102</v>
      </c>
      <c r="G51" s="3" t="s">
        <v>150</v>
      </c>
      <c r="H51" s="3" t="s">
        <v>103</v>
      </c>
      <c r="I51" s="3" t="s">
        <v>157</v>
      </c>
    </row>
    <row r="52" customFormat="false" ht="23.25" hidden="false" customHeight="true" outlineLevel="0" collapsed="false">
      <c r="A52" s="3" t="s">
        <v>87</v>
      </c>
      <c r="B52" s="3" t="s">
        <v>148</v>
      </c>
      <c r="C52" s="3" t="s">
        <v>47</v>
      </c>
      <c r="D52" s="3" t="s">
        <v>158</v>
      </c>
      <c r="E52" s="3" t="s">
        <v>76</v>
      </c>
      <c r="F52" s="4" t="s">
        <v>49</v>
      </c>
      <c r="G52" s="3" t="s">
        <v>150</v>
      </c>
      <c r="H52" s="3" t="s">
        <v>159</v>
      </c>
      <c r="I52" s="3"/>
    </row>
    <row r="53" customFormat="false" ht="23.25" hidden="false" customHeight="true" outlineLevel="0" collapsed="false">
      <c r="A53" s="3" t="s">
        <v>87</v>
      </c>
      <c r="B53" s="3" t="s">
        <v>148</v>
      </c>
      <c r="C53" s="3" t="s">
        <v>145</v>
      </c>
      <c r="D53" s="3" t="s">
        <v>160</v>
      </c>
      <c r="E53" s="3" t="s">
        <v>76</v>
      </c>
      <c r="F53" s="6" t="s">
        <v>102</v>
      </c>
      <c r="G53" s="3" t="s">
        <v>150</v>
      </c>
      <c r="H53" s="3" t="s">
        <v>103</v>
      </c>
      <c r="I53" s="3" t="s">
        <v>161</v>
      </c>
    </row>
    <row r="54" customFormat="false" ht="23.25" hidden="false" customHeight="true" outlineLevel="0" collapsed="false">
      <c r="A54" s="3" t="s">
        <v>162</v>
      </c>
      <c r="B54" s="3" t="s">
        <v>163</v>
      </c>
      <c r="C54" s="3" t="s">
        <v>11</v>
      </c>
      <c r="D54" s="3" t="s">
        <v>164</v>
      </c>
      <c r="E54" s="3" t="s">
        <v>165</v>
      </c>
      <c r="F54" s="4" t="s">
        <v>14</v>
      </c>
      <c r="G54" s="3" t="s">
        <v>166</v>
      </c>
      <c r="H54" s="3" t="s">
        <v>167</v>
      </c>
      <c r="I54" s="3" t="s">
        <v>168</v>
      </c>
    </row>
    <row r="55" customFormat="false" ht="23.25" hidden="false" customHeight="true" outlineLevel="0" collapsed="false">
      <c r="A55" s="3" t="s">
        <v>162</v>
      </c>
      <c r="B55" s="3" t="s">
        <v>163</v>
      </c>
      <c r="C55" s="3" t="s">
        <v>18</v>
      </c>
      <c r="D55" s="3" t="s">
        <v>169</v>
      </c>
      <c r="E55" s="3" t="s">
        <v>165</v>
      </c>
      <c r="F55" s="4" t="s">
        <v>14</v>
      </c>
      <c r="G55" s="3" t="s">
        <v>166</v>
      </c>
      <c r="H55" s="3" t="s">
        <v>170</v>
      </c>
      <c r="I55" s="3"/>
    </row>
    <row r="56" customFormat="false" ht="23.25" hidden="false" customHeight="true" outlineLevel="0" collapsed="false">
      <c r="A56" s="3" t="s">
        <v>162</v>
      </c>
      <c r="B56" s="3" t="s">
        <v>163</v>
      </c>
      <c r="C56" s="3" t="s">
        <v>21</v>
      </c>
      <c r="D56" s="3" t="s">
        <v>171</v>
      </c>
      <c r="E56" s="3" t="s">
        <v>165</v>
      </c>
      <c r="F56" s="4" t="s">
        <v>14</v>
      </c>
      <c r="G56" s="3" t="s">
        <v>166</v>
      </c>
      <c r="H56" s="3" t="s">
        <v>172</v>
      </c>
      <c r="I56" s="3"/>
    </row>
    <row r="57" customFormat="false" ht="23.25" hidden="false" customHeight="true" outlineLevel="0" collapsed="false">
      <c r="A57" s="3" t="s">
        <v>162</v>
      </c>
      <c r="B57" s="3" t="s">
        <v>163</v>
      </c>
      <c r="C57" s="3" t="s">
        <v>47</v>
      </c>
      <c r="D57" s="3" t="s">
        <v>173</v>
      </c>
      <c r="E57" s="3" t="s">
        <v>165</v>
      </c>
      <c r="F57" s="4" t="s">
        <v>49</v>
      </c>
      <c r="G57" s="3" t="s">
        <v>166</v>
      </c>
      <c r="H57" s="3" t="s">
        <v>174</v>
      </c>
      <c r="I57" s="3"/>
    </row>
    <row r="58" customFormat="false" ht="45.75" hidden="false" customHeight="true" outlineLevel="0" collapsed="false">
      <c r="A58" s="3" t="s">
        <v>162</v>
      </c>
      <c r="B58" s="3" t="s">
        <v>175</v>
      </c>
      <c r="C58" s="3" t="s">
        <v>11</v>
      </c>
      <c r="D58" s="3" t="s">
        <v>176</v>
      </c>
      <c r="E58" s="3" t="s">
        <v>177</v>
      </c>
      <c r="F58" s="5" t="s">
        <v>60</v>
      </c>
      <c r="G58" s="3" t="s">
        <v>178</v>
      </c>
      <c r="H58" s="3" t="s">
        <v>179</v>
      </c>
      <c r="I58" s="3" t="s">
        <v>180</v>
      </c>
    </row>
    <row r="59" customFormat="false" ht="23.25" hidden="false" customHeight="true" outlineLevel="0" collapsed="false">
      <c r="A59" s="3" t="s">
        <v>162</v>
      </c>
      <c r="B59" s="3" t="s">
        <v>175</v>
      </c>
      <c r="C59" s="3" t="s">
        <v>18</v>
      </c>
      <c r="D59" s="3" t="s">
        <v>181</v>
      </c>
      <c r="E59" s="3" t="s">
        <v>177</v>
      </c>
      <c r="F59" s="5" t="s">
        <v>60</v>
      </c>
      <c r="G59" s="3" t="s">
        <v>178</v>
      </c>
      <c r="H59" s="3" t="s">
        <v>182</v>
      </c>
      <c r="I59" s="3" t="s">
        <v>183</v>
      </c>
    </row>
    <row r="60" customFormat="false" ht="23.25" hidden="false" customHeight="true" outlineLevel="0" collapsed="false">
      <c r="A60" s="3" t="s">
        <v>162</v>
      </c>
      <c r="B60" s="3" t="s">
        <v>175</v>
      </c>
      <c r="C60" s="3" t="s">
        <v>21</v>
      </c>
      <c r="D60" s="3" t="s">
        <v>184</v>
      </c>
      <c r="E60" s="3" t="s">
        <v>177</v>
      </c>
      <c r="F60" s="6" t="s">
        <v>102</v>
      </c>
      <c r="G60" s="3" t="s">
        <v>178</v>
      </c>
      <c r="H60" s="3" t="s">
        <v>103</v>
      </c>
      <c r="I60" s="3" t="s">
        <v>185</v>
      </c>
    </row>
    <row r="61" customFormat="false" ht="34.5" hidden="false" customHeight="true" outlineLevel="0" collapsed="false">
      <c r="A61" s="3" t="s">
        <v>162</v>
      </c>
      <c r="B61" s="3" t="s">
        <v>175</v>
      </c>
      <c r="C61" s="3" t="s">
        <v>24</v>
      </c>
      <c r="D61" s="3" t="s">
        <v>186</v>
      </c>
      <c r="E61" s="3" t="s">
        <v>177</v>
      </c>
      <c r="F61" s="4" t="s">
        <v>14</v>
      </c>
      <c r="G61" s="3" t="s">
        <v>178</v>
      </c>
      <c r="H61" s="3" t="s">
        <v>187</v>
      </c>
      <c r="I61" s="3"/>
    </row>
    <row r="62" customFormat="false" ht="23.25" hidden="false" customHeight="true" outlineLevel="0" collapsed="false">
      <c r="A62" s="3" t="s">
        <v>162</v>
      </c>
      <c r="B62" s="3" t="s">
        <v>175</v>
      </c>
      <c r="C62" s="3" t="s">
        <v>28</v>
      </c>
      <c r="D62" s="3" t="s">
        <v>188</v>
      </c>
      <c r="E62" s="3" t="s">
        <v>177</v>
      </c>
      <c r="F62" s="4" t="s">
        <v>14</v>
      </c>
      <c r="G62" s="3" t="s">
        <v>178</v>
      </c>
      <c r="H62" s="3" t="s">
        <v>189</v>
      </c>
      <c r="I62" s="3"/>
    </row>
    <row r="63" customFormat="false" ht="34.5" hidden="false" customHeight="true" outlineLevel="0" collapsed="false">
      <c r="A63" s="3" t="s">
        <v>162</v>
      </c>
      <c r="B63" s="3" t="s">
        <v>175</v>
      </c>
      <c r="C63" s="3" t="s">
        <v>32</v>
      </c>
      <c r="D63" s="3" t="s">
        <v>190</v>
      </c>
      <c r="E63" s="3" t="s">
        <v>177</v>
      </c>
      <c r="F63" s="4" t="s">
        <v>14</v>
      </c>
      <c r="G63" s="3" t="s">
        <v>178</v>
      </c>
      <c r="H63" s="3" t="s">
        <v>191</v>
      </c>
      <c r="I63" s="3" t="s">
        <v>192</v>
      </c>
    </row>
    <row r="64" customFormat="false" ht="45.75" hidden="false" customHeight="true" outlineLevel="0" collapsed="false">
      <c r="A64" s="3" t="s">
        <v>162</v>
      </c>
      <c r="B64" s="3" t="s">
        <v>175</v>
      </c>
      <c r="C64" s="3" t="s">
        <v>35</v>
      </c>
      <c r="D64" s="3" t="s">
        <v>193</v>
      </c>
      <c r="E64" s="3" t="s">
        <v>177</v>
      </c>
      <c r="F64" s="5" t="s">
        <v>60</v>
      </c>
      <c r="G64" s="3" t="s">
        <v>178</v>
      </c>
      <c r="H64" s="3" t="s">
        <v>194</v>
      </c>
      <c r="I64" s="3" t="s">
        <v>195</v>
      </c>
    </row>
    <row r="65" customFormat="false" ht="57" hidden="false" customHeight="true" outlineLevel="0" collapsed="false">
      <c r="A65" s="3" t="s">
        <v>162</v>
      </c>
      <c r="B65" s="3" t="s">
        <v>175</v>
      </c>
      <c r="C65" s="3" t="s">
        <v>38</v>
      </c>
      <c r="D65" s="3" t="s">
        <v>196</v>
      </c>
      <c r="E65" s="3" t="s">
        <v>177</v>
      </c>
      <c r="F65" s="5" t="s">
        <v>197</v>
      </c>
      <c r="G65" s="3" t="s">
        <v>178</v>
      </c>
      <c r="H65" s="3" t="s">
        <v>198</v>
      </c>
      <c r="I65" s="3" t="s">
        <v>199</v>
      </c>
    </row>
    <row r="66" customFormat="false" ht="23.25" hidden="false" customHeight="true" outlineLevel="0" collapsed="false">
      <c r="A66" s="3" t="s">
        <v>162</v>
      </c>
      <c r="B66" s="3" t="s">
        <v>175</v>
      </c>
      <c r="C66" s="3" t="s">
        <v>41</v>
      </c>
      <c r="D66" s="3" t="s">
        <v>200</v>
      </c>
      <c r="E66" s="3" t="s">
        <v>177</v>
      </c>
      <c r="F66" s="4" t="s">
        <v>14</v>
      </c>
      <c r="G66" s="3" t="s">
        <v>178</v>
      </c>
      <c r="H66" s="3" t="s">
        <v>201</v>
      </c>
      <c r="I66" s="3" t="s">
        <v>202</v>
      </c>
    </row>
    <row r="67" customFormat="false" ht="23.25" hidden="false" customHeight="true" outlineLevel="0" collapsed="false">
      <c r="A67" s="3" t="s">
        <v>162</v>
      </c>
      <c r="B67" s="3" t="s">
        <v>175</v>
      </c>
      <c r="C67" s="3" t="s">
        <v>44</v>
      </c>
      <c r="D67" s="3" t="s">
        <v>203</v>
      </c>
      <c r="E67" s="3" t="s">
        <v>177</v>
      </c>
      <c r="F67" s="4" t="s">
        <v>14</v>
      </c>
      <c r="G67" s="3" t="s">
        <v>178</v>
      </c>
      <c r="H67" s="3" t="s">
        <v>204</v>
      </c>
      <c r="I67" s="3"/>
    </row>
    <row r="68" customFormat="false" ht="23.25" hidden="false" customHeight="true" outlineLevel="0" collapsed="false">
      <c r="A68" s="3" t="s">
        <v>162</v>
      </c>
      <c r="B68" s="3" t="s">
        <v>175</v>
      </c>
      <c r="C68" s="3" t="s">
        <v>205</v>
      </c>
      <c r="D68" s="3" t="s">
        <v>206</v>
      </c>
      <c r="E68" s="3" t="s">
        <v>177</v>
      </c>
      <c r="F68" s="4" t="s">
        <v>14</v>
      </c>
      <c r="G68" s="3" t="s">
        <v>178</v>
      </c>
      <c r="H68" s="3" t="s">
        <v>207</v>
      </c>
      <c r="I68" s="3"/>
    </row>
    <row r="69" customFormat="false" ht="34.5" hidden="false" customHeight="true" outlineLevel="0" collapsed="false">
      <c r="A69" s="3" t="s">
        <v>162</v>
      </c>
      <c r="B69" s="3" t="s">
        <v>175</v>
      </c>
      <c r="C69" s="3" t="s">
        <v>208</v>
      </c>
      <c r="D69" s="3" t="s">
        <v>209</v>
      </c>
      <c r="E69" s="3" t="s">
        <v>177</v>
      </c>
      <c r="F69" s="5" t="s">
        <v>60</v>
      </c>
      <c r="G69" s="3" t="s">
        <v>178</v>
      </c>
      <c r="H69" s="3" t="s">
        <v>210</v>
      </c>
      <c r="I69" s="3" t="s">
        <v>211</v>
      </c>
    </row>
    <row r="70" customFormat="false" ht="23.25" hidden="false" customHeight="true" outlineLevel="0" collapsed="false">
      <c r="A70" s="3" t="s">
        <v>162</v>
      </c>
      <c r="B70" s="3" t="s">
        <v>175</v>
      </c>
      <c r="C70" s="3" t="s">
        <v>212</v>
      </c>
      <c r="D70" s="3" t="s">
        <v>213</v>
      </c>
      <c r="E70" s="3" t="s">
        <v>177</v>
      </c>
      <c r="F70" s="4" t="s">
        <v>14</v>
      </c>
      <c r="G70" s="3" t="s">
        <v>178</v>
      </c>
      <c r="H70" s="3" t="s">
        <v>214</v>
      </c>
      <c r="I70" s="3"/>
    </row>
    <row r="71" customFormat="false" ht="23.25" hidden="false" customHeight="true" outlineLevel="0" collapsed="false">
      <c r="A71" s="3" t="s">
        <v>162</v>
      </c>
      <c r="B71" s="3" t="s">
        <v>175</v>
      </c>
      <c r="C71" s="3" t="s">
        <v>215</v>
      </c>
      <c r="D71" s="3" t="s">
        <v>216</v>
      </c>
      <c r="E71" s="3" t="s">
        <v>177</v>
      </c>
      <c r="F71" s="4" t="s">
        <v>14</v>
      </c>
      <c r="G71" s="3" t="s">
        <v>178</v>
      </c>
      <c r="H71" s="3" t="s">
        <v>217</v>
      </c>
      <c r="I71" s="3" t="s">
        <v>218</v>
      </c>
    </row>
    <row r="72" customFormat="false" ht="23.25" hidden="false" customHeight="true" outlineLevel="0" collapsed="false">
      <c r="A72" s="3" t="s">
        <v>162</v>
      </c>
      <c r="B72" s="3" t="s">
        <v>175</v>
      </c>
      <c r="C72" s="3" t="s">
        <v>219</v>
      </c>
      <c r="D72" s="3" t="s">
        <v>220</v>
      </c>
      <c r="E72" s="3" t="s">
        <v>177</v>
      </c>
      <c r="F72" s="4" t="s">
        <v>14</v>
      </c>
      <c r="G72" s="3" t="s">
        <v>178</v>
      </c>
      <c r="H72" s="3" t="s">
        <v>221</v>
      </c>
      <c r="I72" s="3"/>
    </row>
    <row r="73" customFormat="false" ht="34.5" hidden="false" customHeight="true" outlineLevel="0" collapsed="false">
      <c r="A73" s="3" t="s">
        <v>162</v>
      </c>
      <c r="B73" s="3" t="s">
        <v>175</v>
      </c>
      <c r="C73" s="3" t="s">
        <v>47</v>
      </c>
      <c r="D73" s="3" t="s">
        <v>222</v>
      </c>
      <c r="E73" s="3" t="s">
        <v>177</v>
      </c>
      <c r="F73" s="4" t="s">
        <v>49</v>
      </c>
      <c r="G73" s="3" t="s">
        <v>178</v>
      </c>
      <c r="H73" s="3" t="s">
        <v>223</v>
      </c>
      <c r="I73" s="3" t="s">
        <v>224</v>
      </c>
    </row>
    <row r="74" customFormat="false" ht="23.25" hidden="false" customHeight="true" outlineLevel="0" collapsed="false">
      <c r="A74" s="3" t="s">
        <v>162</v>
      </c>
      <c r="B74" s="3" t="s">
        <v>225</v>
      </c>
      <c r="C74" s="3" t="s">
        <v>11</v>
      </c>
      <c r="D74" s="3" t="s">
        <v>226</v>
      </c>
      <c r="E74" s="3" t="s">
        <v>227</v>
      </c>
      <c r="F74" s="4" t="s">
        <v>14</v>
      </c>
      <c r="G74" s="3" t="s">
        <v>228</v>
      </c>
      <c r="H74" s="3" t="s">
        <v>229</v>
      </c>
      <c r="I74" s="3"/>
    </row>
    <row r="75" customFormat="false" ht="23.25" hidden="false" customHeight="true" outlineLevel="0" collapsed="false">
      <c r="A75" s="3" t="s">
        <v>162</v>
      </c>
      <c r="B75" s="3" t="s">
        <v>225</v>
      </c>
      <c r="C75" s="3" t="s">
        <v>18</v>
      </c>
      <c r="D75" s="3" t="s">
        <v>230</v>
      </c>
      <c r="E75" s="3" t="s">
        <v>227</v>
      </c>
      <c r="F75" s="4" t="s">
        <v>14</v>
      </c>
      <c r="G75" s="3" t="s">
        <v>228</v>
      </c>
      <c r="H75" s="3" t="s">
        <v>231</v>
      </c>
      <c r="I75" s="3" t="s">
        <v>232</v>
      </c>
    </row>
    <row r="76" customFormat="false" ht="23.25" hidden="false" customHeight="true" outlineLevel="0" collapsed="false">
      <c r="A76" s="3" t="s">
        <v>162</v>
      </c>
      <c r="B76" s="3" t="s">
        <v>225</v>
      </c>
      <c r="C76" s="3" t="s">
        <v>21</v>
      </c>
      <c r="D76" s="3" t="s">
        <v>233</v>
      </c>
      <c r="E76" s="3" t="s">
        <v>227</v>
      </c>
      <c r="F76" s="4" t="s">
        <v>14</v>
      </c>
      <c r="G76" s="3" t="s">
        <v>228</v>
      </c>
      <c r="H76" s="3" t="s">
        <v>234</v>
      </c>
      <c r="I76" s="3"/>
    </row>
    <row r="77" customFormat="false" ht="34.5" hidden="false" customHeight="true" outlineLevel="0" collapsed="false">
      <c r="A77" s="3" t="s">
        <v>162</v>
      </c>
      <c r="B77" s="3" t="s">
        <v>225</v>
      </c>
      <c r="C77" s="3" t="s">
        <v>24</v>
      </c>
      <c r="D77" s="3" t="s">
        <v>235</v>
      </c>
      <c r="E77" s="3" t="s">
        <v>227</v>
      </c>
      <c r="F77" s="5" t="s">
        <v>60</v>
      </c>
      <c r="G77" s="3" t="s">
        <v>228</v>
      </c>
      <c r="H77" s="3" t="s">
        <v>236</v>
      </c>
      <c r="I77" s="3" t="s">
        <v>237</v>
      </c>
    </row>
    <row r="78" customFormat="false" ht="23.25" hidden="false" customHeight="true" outlineLevel="0" collapsed="false">
      <c r="A78" s="3" t="s">
        <v>162</v>
      </c>
      <c r="B78" s="3" t="s">
        <v>225</v>
      </c>
      <c r="C78" s="3" t="s">
        <v>28</v>
      </c>
      <c r="D78" s="3" t="s">
        <v>238</v>
      </c>
      <c r="E78" s="3" t="s">
        <v>227</v>
      </c>
      <c r="F78" s="4" t="s">
        <v>14</v>
      </c>
      <c r="G78" s="3" t="s">
        <v>228</v>
      </c>
      <c r="H78" s="3" t="s">
        <v>239</v>
      </c>
      <c r="I78" s="3"/>
    </row>
    <row r="79" customFormat="false" ht="23.25" hidden="false" customHeight="true" outlineLevel="0" collapsed="false">
      <c r="A79" s="3" t="s">
        <v>162</v>
      </c>
      <c r="B79" s="3" t="s">
        <v>225</v>
      </c>
      <c r="C79" s="3" t="s">
        <v>32</v>
      </c>
      <c r="D79" s="3" t="s">
        <v>240</v>
      </c>
      <c r="E79" s="3" t="s">
        <v>227</v>
      </c>
      <c r="F79" s="4" t="s">
        <v>14</v>
      </c>
      <c r="G79" s="3" t="s">
        <v>228</v>
      </c>
      <c r="H79" s="3" t="s">
        <v>241</v>
      </c>
      <c r="I79" s="3"/>
    </row>
    <row r="80" customFormat="false" ht="23.25" hidden="false" customHeight="true" outlineLevel="0" collapsed="false">
      <c r="A80" s="3" t="s">
        <v>162</v>
      </c>
      <c r="B80" s="3" t="s">
        <v>225</v>
      </c>
      <c r="C80" s="3" t="s">
        <v>35</v>
      </c>
      <c r="D80" s="3" t="s">
        <v>242</v>
      </c>
      <c r="E80" s="3" t="s">
        <v>227</v>
      </c>
      <c r="F80" s="4" t="s">
        <v>14</v>
      </c>
      <c r="G80" s="3" t="s">
        <v>228</v>
      </c>
      <c r="H80" s="3" t="s">
        <v>243</v>
      </c>
      <c r="I80" s="3"/>
    </row>
    <row r="81" customFormat="false" ht="23.25" hidden="false" customHeight="true" outlineLevel="0" collapsed="false">
      <c r="A81" s="3" t="s">
        <v>162</v>
      </c>
      <c r="B81" s="3" t="s">
        <v>225</v>
      </c>
      <c r="C81" s="3" t="s">
        <v>38</v>
      </c>
      <c r="D81" s="3" t="s">
        <v>244</v>
      </c>
      <c r="E81" s="3" t="s">
        <v>227</v>
      </c>
      <c r="F81" s="4" t="s">
        <v>14</v>
      </c>
      <c r="G81" s="3" t="s">
        <v>228</v>
      </c>
      <c r="H81" s="3" t="s">
        <v>245</v>
      </c>
      <c r="I81" s="3"/>
    </row>
    <row r="82" customFormat="false" ht="23.25" hidden="false" customHeight="true" outlineLevel="0" collapsed="false">
      <c r="A82" s="3" t="s">
        <v>162</v>
      </c>
      <c r="B82" s="3" t="s">
        <v>225</v>
      </c>
      <c r="C82" s="3" t="s">
        <v>47</v>
      </c>
      <c r="D82" s="3" t="s">
        <v>246</v>
      </c>
      <c r="E82" s="3" t="s">
        <v>227</v>
      </c>
      <c r="F82" s="4" t="s">
        <v>49</v>
      </c>
      <c r="G82" s="3" t="s">
        <v>228</v>
      </c>
      <c r="H82" s="3" t="s">
        <v>247</v>
      </c>
      <c r="I82" s="3"/>
    </row>
    <row r="83" customFormat="false" ht="23.25" hidden="false" customHeight="true" outlineLevel="0" collapsed="false">
      <c r="A83" s="7" t="s">
        <v>248</v>
      </c>
      <c r="B83" s="8" t="s">
        <v>249</v>
      </c>
      <c r="C83" s="3" t="s">
        <v>250</v>
      </c>
      <c r="D83" s="3" t="s">
        <v>251</v>
      </c>
      <c r="E83" s="3" t="s">
        <v>252</v>
      </c>
      <c r="F83" s="4" t="s">
        <v>14</v>
      </c>
      <c r="G83" s="3" t="s">
        <v>253</v>
      </c>
      <c r="H83" s="3" t="s">
        <v>103</v>
      </c>
      <c r="I83" s="3" t="s">
        <v>254</v>
      </c>
    </row>
    <row r="84" customFormat="false" ht="45.75" hidden="false" customHeight="true" outlineLevel="0" collapsed="false">
      <c r="A84" s="7" t="s">
        <v>248</v>
      </c>
      <c r="B84" s="8" t="s">
        <v>249</v>
      </c>
      <c r="C84" s="3" t="s">
        <v>255</v>
      </c>
      <c r="D84" s="3" t="s">
        <v>256</v>
      </c>
      <c r="E84" s="3" t="s">
        <v>252</v>
      </c>
      <c r="F84" s="5" t="s">
        <v>60</v>
      </c>
      <c r="G84" s="3" t="s">
        <v>257</v>
      </c>
      <c r="H84" s="3" t="s">
        <v>258</v>
      </c>
      <c r="I84" s="3" t="s">
        <v>259</v>
      </c>
    </row>
    <row r="85" customFormat="false" ht="23.25" hidden="false" customHeight="true" outlineLevel="0" collapsed="false">
      <c r="A85" s="7" t="s">
        <v>248</v>
      </c>
      <c r="B85" s="8" t="s">
        <v>249</v>
      </c>
      <c r="C85" s="3" t="s">
        <v>260</v>
      </c>
      <c r="D85" s="3" t="s">
        <v>261</v>
      </c>
      <c r="E85" s="3" t="s">
        <v>252</v>
      </c>
      <c r="F85" s="6" t="s">
        <v>102</v>
      </c>
      <c r="G85" s="3" t="s">
        <v>103</v>
      </c>
      <c r="H85" s="3" t="s">
        <v>103</v>
      </c>
      <c r="I85" s="3" t="s">
        <v>262</v>
      </c>
    </row>
    <row r="86" customFormat="false" ht="23.25" hidden="false" customHeight="true" outlineLevel="0" collapsed="false">
      <c r="A86" s="7" t="s">
        <v>248</v>
      </c>
      <c r="B86" s="8" t="s">
        <v>249</v>
      </c>
      <c r="C86" s="3" t="s">
        <v>263</v>
      </c>
      <c r="D86" s="3" t="s">
        <v>264</v>
      </c>
      <c r="E86" s="3" t="s">
        <v>252</v>
      </c>
      <c r="F86" s="6" t="s">
        <v>102</v>
      </c>
      <c r="G86" s="3" t="s">
        <v>103</v>
      </c>
      <c r="H86" s="3" t="s">
        <v>103</v>
      </c>
      <c r="I86" s="3" t="s">
        <v>262</v>
      </c>
    </row>
    <row r="87" customFormat="false" ht="45.75" hidden="false" customHeight="true" outlineLevel="0" collapsed="false">
      <c r="A87" s="7" t="s">
        <v>248</v>
      </c>
      <c r="B87" s="8" t="s">
        <v>249</v>
      </c>
      <c r="C87" s="3" t="s">
        <v>265</v>
      </c>
      <c r="D87" s="3" t="s">
        <v>266</v>
      </c>
      <c r="E87" s="3" t="s">
        <v>252</v>
      </c>
      <c r="F87" s="5" t="s">
        <v>60</v>
      </c>
      <c r="G87" s="3" t="s">
        <v>267</v>
      </c>
      <c r="H87" s="3" t="s">
        <v>268</v>
      </c>
      <c r="I87" s="3" t="s">
        <v>269</v>
      </c>
    </row>
  </sheetData>
  <autoFilter ref="A1:I8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0"/>
    <col collapsed="false" customWidth="true" hidden="false" outlineLevel="0" max="3" min="3" style="1" width="8"/>
    <col collapsed="false" customWidth="true" hidden="false" outlineLevel="0" max="5" min="4" style="1" width="10"/>
    <col collapsed="false" customWidth="true" hidden="false" outlineLevel="0" max="6" min="6" style="1" width="28"/>
  </cols>
  <sheetData>
    <row r="1" customFormat="false" ht="15" hidden="false" customHeight="true" outlineLevel="0" collapsed="false">
      <c r="A1" s="2" t="s">
        <v>1</v>
      </c>
      <c r="B1" s="2" t="s">
        <v>270</v>
      </c>
      <c r="C1" s="2" t="s">
        <v>14</v>
      </c>
      <c r="D1" s="2" t="s">
        <v>60</v>
      </c>
      <c r="E1" s="2" t="s">
        <v>271</v>
      </c>
      <c r="F1" s="2" t="s">
        <v>272</v>
      </c>
    </row>
    <row r="2" customFormat="false" ht="15" hidden="false" customHeight="true" outlineLevel="0" collapsed="false">
      <c r="A2" s="9" t="s">
        <v>10</v>
      </c>
      <c r="B2" s="9" t="n">
        <f aca="false">COUNTIFS('Traceability Matrix'!$B$2:$B$87,"GRAD-101",'Traceability Matrix'!$C$2:$C$87,"AC-*")</f>
        <v>10</v>
      </c>
      <c r="C2" s="9" t="n">
        <f aca="false">COUNTIFS('Traceability Matrix'!$B$2:$B$87,"GRAD-101",'Traceability Matrix'!$C$2:$C$87,"AC-*",'Traceability Matrix'!$F$2:$F$87,"Tam")+COUNTIFS('Traceability Matrix'!$B$2:$B$87,"GRAD-101",'Traceability Matrix'!$C$2:$C$87,"AC-*",'Traceability Matrix'!$F$2:$F$87,"Tam (çarpaz fayl)")</f>
        <v>10</v>
      </c>
      <c r="D2" s="9" t="n">
        <f aca="false">COUNTIFS('Traceability Matrix'!$B$2:$B$87,"GRAD-101",'Traceability Matrix'!$C$2:$C$87,"AC-*",'Traceability Matrix'!$F$2:$F$87,"Qismən")+COUNTIFS('Traceability Matrix'!$B$2:$B$87,"GRAD-101",'Traceability Matrix'!$C$2:$C$87,"AC-*",'Traceability Matrix'!$F$2:$F$87,"Qismən (deviation)")</f>
        <v>0</v>
      </c>
      <c r="E2" s="9" t="n">
        <f aca="false">COUNTIFS('Traceability Matrix'!$B$2:$B$87,"GRAD-101",'Traceability Matrix'!$C$2:$C$87,"AC-*",'Traceability Matrix'!$F$2:$F$87,"YOXDUR")</f>
        <v>0</v>
      </c>
      <c r="F2" s="3" t="s">
        <v>15</v>
      </c>
    </row>
    <row r="3" customFormat="false" ht="15" hidden="false" customHeight="true" outlineLevel="0" collapsed="false">
      <c r="A3" s="9" t="s">
        <v>52</v>
      </c>
      <c r="B3" s="9" t="n">
        <f aca="false">COUNTIFS('Traceability Matrix'!$B$2:$B$87,"GRAD-102",'Traceability Matrix'!$C$2:$C$87,"AC-*")</f>
        <v>7</v>
      </c>
      <c r="C3" s="9" t="n">
        <f aca="false">COUNTIFS('Traceability Matrix'!$B$2:$B$87,"GRAD-102",'Traceability Matrix'!$C$2:$C$87,"AC-*",'Traceability Matrix'!$F$2:$F$87,"Tam")+COUNTIFS('Traceability Matrix'!$B$2:$B$87,"GRAD-102",'Traceability Matrix'!$C$2:$C$87,"AC-*",'Traceability Matrix'!$F$2:$F$87,"Tam (çarpaz fayl)")</f>
        <v>6</v>
      </c>
      <c r="D3" s="9" t="n">
        <f aca="false">COUNTIFS('Traceability Matrix'!$B$2:$B$87,"GRAD-102",'Traceability Matrix'!$C$2:$C$87,"AC-*",'Traceability Matrix'!$F$2:$F$87,"Qismən")+COUNTIFS('Traceability Matrix'!$B$2:$B$87,"GRAD-102",'Traceability Matrix'!$C$2:$C$87,"AC-*",'Traceability Matrix'!$F$2:$F$87,"Qismən (deviation)")</f>
        <v>1</v>
      </c>
      <c r="E3" s="9" t="n">
        <f aca="false">COUNTIFS('Traceability Matrix'!$B$2:$B$87,"GRAD-102",'Traceability Matrix'!$C$2:$C$87,"AC-*",'Traceability Matrix'!$F$2:$F$87,"YOXDUR")</f>
        <v>0</v>
      </c>
      <c r="F3" s="3" t="s">
        <v>55</v>
      </c>
    </row>
    <row r="4" customFormat="false" ht="15" hidden="false" customHeight="true" outlineLevel="0" collapsed="false">
      <c r="A4" s="9" t="s">
        <v>74</v>
      </c>
      <c r="B4" s="9" t="n">
        <f aca="false">COUNTIFS('Traceability Matrix'!$B$2:$B$87,"GRAD-103",'Traceability Matrix'!$C$2:$C$87,"AC-*")</f>
        <v>4</v>
      </c>
      <c r="C4" s="9" t="n">
        <f aca="false">COUNTIFS('Traceability Matrix'!$B$2:$B$87,"GRAD-103",'Traceability Matrix'!$C$2:$C$87,"AC-*",'Traceability Matrix'!$F$2:$F$87,"Tam")+COUNTIFS('Traceability Matrix'!$B$2:$B$87,"GRAD-103",'Traceability Matrix'!$C$2:$C$87,"AC-*",'Traceability Matrix'!$F$2:$F$87,"Tam (çarpaz fayl)")</f>
        <v>4</v>
      </c>
      <c r="D4" s="9" t="n">
        <f aca="false">COUNTIFS('Traceability Matrix'!$B$2:$B$87,"GRAD-103",'Traceability Matrix'!$C$2:$C$87,"AC-*",'Traceability Matrix'!$F$2:$F$87,"Qismən")+COUNTIFS('Traceability Matrix'!$B$2:$B$87,"GRAD-103",'Traceability Matrix'!$C$2:$C$87,"AC-*",'Traceability Matrix'!$F$2:$F$87,"Qismən (deviation)")</f>
        <v>0</v>
      </c>
      <c r="E4" s="9" t="n">
        <f aca="false">COUNTIFS('Traceability Matrix'!$B$2:$B$87,"GRAD-103",'Traceability Matrix'!$C$2:$C$87,"AC-*",'Traceability Matrix'!$F$2:$F$87,"YOXDUR")</f>
        <v>0</v>
      </c>
      <c r="F4" s="3" t="s">
        <v>77</v>
      </c>
    </row>
    <row r="5" customFormat="false" ht="15" hidden="false" customHeight="true" outlineLevel="0" collapsed="false">
      <c r="A5" s="9" t="s">
        <v>88</v>
      </c>
      <c r="B5" s="9" t="n">
        <f aca="false">COUNTIFS('Traceability Matrix'!$B$2:$B$87,"GRAD-201",'Traceability Matrix'!$C$2:$C$87,"AC-*")</f>
        <v>8</v>
      </c>
      <c r="C5" s="9" t="n">
        <f aca="false">COUNTIFS('Traceability Matrix'!$B$2:$B$87,"GRAD-201",'Traceability Matrix'!$C$2:$C$87,"AC-*",'Traceability Matrix'!$F$2:$F$87,"Tam")+COUNTIFS('Traceability Matrix'!$B$2:$B$87,"GRAD-201",'Traceability Matrix'!$C$2:$C$87,"AC-*",'Traceability Matrix'!$F$2:$F$87,"Tam (çarpaz fayl)")</f>
        <v>5</v>
      </c>
      <c r="D5" s="9" t="n">
        <f aca="false">COUNTIFS('Traceability Matrix'!$B$2:$B$87,"GRAD-201",'Traceability Matrix'!$C$2:$C$87,"AC-*",'Traceability Matrix'!$F$2:$F$87,"Qismən")+COUNTIFS('Traceability Matrix'!$B$2:$B$87,"GRAD-201",'Traceability Matrix'!$C$2:$C$87,"AC-*",'Traceability Matrix'!$F$2:$F$87,"Qismən (deviation)")</f>
        <v>1</v>
      </c>
      <c r="E5" s="9" t="n">
        <f aca="false">COUNTIFS('Traceability Matrix'!$B$2:$B$87,"GRAD-201",'Traceability Matrix'!$C$2:$C$87,"AC-*",'Traceability Matrix'!$F$2:$F$87,"YOXDUR")</f>
        <v>2</v>
      </c>
      <c r="F5" s="3" t="s">
        <v>90</v>
      </c>
    </row>
    <row r="6" customFormat="false" ht="15" hidden="false" customHeight="true" outlineLevel="0" collapsed="false">
      <c r="A6" s="9" t="s">
        <v>112</v>
      </c>
      <c r="B6" s="9" t="n">
        <f aca="false">COUNTIFS('Traceability Matrix'!$B$2:$B$87,"GRAD-202",'Traceability Matrix'!$C$2:$C$87,"AC-*")</f>
        <v>3</v>
      </c>
      <c r="C6" s="9" t="n">
        <f aca="false">COUNTIFS('Traceability Matrix'!$B$2:$B$87,"GRAD-202",'Traceability Matrix'!$C$2:$C$87,"AC-*",'Traceability Matrix'!$F$2:$F$87,"Tam")+COUNTIFS('Traceability Matrix'!$B$2:$B$87,"GRAD-202",'Traceability Matrix'!$C$2:$C$87,"AC-*",'Traceability Matrix'!$F$2:$F$87,"Tam (çarpaz fayl)")</f>
        <v>2</v>
      </c>
      <c r="D6" s="9" t="n">
        <f aca="false">COUNTIFS('Traceability Matrix'!$B$2:$B$87,"GRAD-202",'Traceability Matrix'!$C$2:$C$87,"AC-*",'Traceability Matrix'!$F$2:$F$87,"Qismən")+COUNTIFS('Traceability Matrix'!$B$2:$B$87,"GRAD-202",'Traceability Matrix'!$C$2:$C$87,"AC-*",'Traceability Matrix'!$F$2:$F$87,"Qismən (deviation)")</f>
        <v>1</v>
      </c>
      <c r="E6" s="9" t="n">
        <f aca="false">COUNTIFS('Traceability Matrix'!$B$2:$B$87,"GRAD-202",'Traceability Matrix'!$C$2:$C$87,"AC-*",'Traceability Matrix'!$F$2:$F$87,"YOXDUR")</f>
        <v>0</v>
      </c>
      <c r="F6" s="3" t="s">
        <v>114</v>
      </c>
    </row>
    <row r="7" customFormat="false" ht="15" hidden="false" customHeight="true" outlineLevel="0" collapsed="false">
      <c r="A7" s="9" t="s">
        <v>123</v>
      </c>
      <c r="B7" s="9" t="n">
        <f aca="false">COUNTIFS('Traceability Matrix'!$B$2:$B$87,"GRAD-203",'Traceability Matrix'!$C$2:$C$87,"AC-*")</f>
        <v>7</v>
      </c>
      <c r="C7" s="9" t="n">
        <f aca="false">COUNTIFS('Traceability Matrix'!$B$2:$B$87,"GRAD-203",'Traceability Matrix'!$C$2:$C$87,"AC-*",'Traceability Matrix'!$F$2:$F$87,"Tam")+COUNTIFS('Traceability Matrix'!$B$2:$B$87,"GRAD-203",'Traceability Matrix'!$C$2:$C$87,"AC-*",'Traceability Matrix'!$F$2:$F$87,"Tam (çarpaz fayl)")</f>
        <v>6</v>
      </c>
      <c r="D7" s="9" t="n">
        <f aca="false">COUNTIFS('Traceability Matrix'!$B$2:$B$87,"GRAD-203",'Traceability Matrix'!$C$2:$C$87,"AC-*",'Traceability Matrix'!$F$2:$F$87,"Qismən")+COUNTIFS('Traceability Matrix'!$B$2:$B$87,"GRAD-203",'Traceability Matrix'!$C$2:$C$87,"AC-*",'Traceability Matrix'!$F$2:$F$87,"Qismən (deviation)")</f>
        <v>1</v>
      </c>
      <c r="E7" s="9" t="n">
        <f aca="false">COUNTIFS('Traceability Matrix'!$B$2:$B$87,"GRAD-203",'Traceability Matrix'!$C$2:$C$87,"AC-*",'Traceability Matrix'!$F$2:$F$87,"YOXDUR")</f>
        <v>0</v>
      </c>
      <c r="F7" s="3" t="s">
        <v>126</v>
      </c>
    </row>
    <row r="8" customFormat="false" ht="15" hidden="false" customHeight="true" outlineLevel="0" collapsed="false">
      <c r="A8" s="9" t="s">
        <v>148</v>
      </c>
      <c r="B8" s="9" t="n">
        <f aca="false">COUNTIFS('Traceability Matrix'!$B$2:$B$87,"GRAD-204",'Traceability Matrix'!$C$2:$C$87,"AC-*")</f>
        <v>4</v>
      </c>
      <c r="C8" s="9" t="n">
        <f aca="false">COUNTIFS('Traceability Matrix'!$B$2:$B$87,"GRAD-204",'Traceability Matrix'!$C$2:$C$87,"AC-*",'Traceability Matrix'!$F$2:$F$87,"Tam")+COUNTIFS('Traceability Matrix'!$B$2:$B$87,"GRAD-204",'Traceability Matrix'!$C$2:$C$87,"AC-*",'Traceability Matrix'!$F$2:$F$87,"Tam (çarpaz fayl)")</f>
        <v>3</v>
      </c>
      <c r="D8" s="9" t="n">
        <f aca="false">COUNTIFS('Traceability Matrix'!$B$2:$B$87,"GRAD-204",'Traceability Matrix'!$C$2:$C$87,"AC-*",'Traceability Matrix'!$F$2:$F$87,"Qismən")+COUNTIFS('Traceability Matrix'!$B$2:$B$87,"GRAD-204",'Traceability Matrix'!$C$2:$C$87,"AC-*",'Traceability Matrix'!$F$2:$F$87,"Qismən (deviation)")</f>
        <v>0</v>
      </c>
      <c r="E8" s="9" t="n">
        <f aca="false">COUNTIFS('Traceability Matrix'!$B$2:$B$87,"GRAD-204",'Traceability Matrix'!$C$2:$C$87,"AC-*",'Traceability Matrix'!$F$2:$F$87,"YOXDUR")</f>
        <v>1</v>
      </c>
      <c r="F8" s="3" t="s">
        <v>150</v>
      </c>
    </row>
    <row r="9" customFormat="false" ht="15" hidden="false" customHeight="true" outlineLevel="0" collapsed="false">
      <c r="A9" s="9" t="s">
        <v>163</v>
      </c>
      <c r="B9" s="9" t="n">
        <f aca="false">COUNTIFS('Traceability Matrix'!$B$2:$B$87,"GRAD-301",'Traceability Matrix'!$C$2:$C$87,"AC-*")</f>
        <v>3</v>
      </c>
      <c r="C9" s="9" t="n">
        <f aca="false">COUNTIFS('Traceability Matrix'!$B$2:$B$87,"GRAD-301",'Traceability Matrix'!$C$2:$C$87,"AC-*",'Traceability Matrix'!$F$2:$F$87,"Tam")+COUNTIFS('Traceability Matrix'!$B$2:$B$87,"GRAD-301",'Traceability Matrix'!$C$2:$C$87,"AC-*",'Traceability Matrix'!$F$2:$F$87,"Tam (çarpaz fayl)")</f>
        <v>3</v>
      </c>
      <c r="D9" s="9" t="n">
        <f aca="false">COUNTIFS('Traceability Matrix'!$B$2:$B$87,"GRAD-301",'Traceability Matrix'!$C$2:$C$87,"AC-*",'Traceability Matrix'!$F$2:$F$87,"Qismən")+COUNTIFS('Traceability Matrix'!$B$2:$B$87,"GRAD-301",'Traceability Matrix'!$C$2:$C$87,"AC-*",'Traceability Matrix'!$F$2:$F$87,"Qismən (deviation)")</f>
        <v>0</v>
      </c>
      <c r="E9" s="9" t="n">
        <f aca="false">COUNTIFS('Traceability Matrix'!$B$2:$B$87,"GRAD-301",'Traceability Matrix'!$C$2:$C$87,"AC-*",'Traceability Matrix'!$F$2:$F$87,"YOXDUR")</f>
        <v>0</v>
      </c>
      <c r="F9" s="3" t="s">
        <v>166</v>
      </c>
    </row>
    <row r="10" customFormat="false" ht="15" hidden="false" customHeight="true" outlineLevel="0" collapsed="false">
      <c r="A10" s="9" t="s">
        <v>175</v>
      </c>
      <c r="B10" s="9" t="n">
        <f aca="false">COUNTIFS('Traceability Matrix'!$B$2:$B$87,"GRAD-302",'Traceability Matrix'!$C$2:$C$87,"AC-*")</f>
        <v>15</v>
      </c>
      <c r="C10" s="9" t="n">
        <f aca="false">COUNTIFS('Traceability Matrix'!$B$2:$B$87,"GRAD-302",'Traceability Matrix'!$C$2:$C$87,"AC-*",'Traceability Matrix'!$F$2:$F$87,"Tam")+COUNTIFS('Traceability Matrix'!$B$2:$B$87,"GRAD-302",'Traceability Matrix'!$C$2:$C$87,"AC-*",'Traceability Matrix'!$F$2:$F$87,"Tam (çarpaz fayl)")</f>
        <v>9</v>
      </c>
      <c r="D10" s="9" t="n">
        <f aca="false">COUNTIFS('Traceability Matrix'!$B$2:$B$87,"GRAD-302",'Traceability Matrix'!$C$2:$C$87,"AC-*",'Traceability Matrix'!$F$2:$F$87,"Qismən")+COUNTIFS('Traceability Matrix'!$B$2:$B$87,"GRAD-302",'Traceability Matrix'!$C$2:$C$87,"AC-*",'Traceability Matrix'!$F$2:$F$87,"Qismən (deviation)")</f>
        <v>5</v>
      </c>
      <c r="E10" s="9" t="n">
        <f aca="false">COUNTIFS('Traceability Matrix'!$B$2:$B$87,"GRAD-302",'Traceability Matrix'!$C$2:$C$87,"AC-*",'Traceability Matrix'!$F$2:$F$87,"YOXDUR")</f>
        <v>1</v>
      </c>
      <c r="F10" s="3" t="s">
        <v>178</v>
      </c>
    </row>
    <row r="11" customFormat="false" ht="15" hidden="false" customHeight="true" outlineLevel="0" collapsed="false">
      <c r="A11" s="9" t="s">
        <v>225</v>
      </c>
      <c r="B11" s="9" t="n">
        <f aca="false">COUNTIFS('Traceability Matrix'!$B$2:$B$87,"GRAD-303",'Traceability Matrix'!$C$2:$C$87,"AC-*")</f>
        <v>8</v>
      </c>
      <c r="C11" s="9" t="n">
        <f aca="false">COUNTIFS('Traceability Matrix'!$B$2:$B$87,"GRAD-303",'Traceability Matrix'!$C$2:$C$87,"AC-*",'Traceability Matrix'!$F$2:$F$87,"Tam")+COUNTIFS('Traceability Matrix'!$B$2:$B$87,"GRAD-303",'Traceability Matrix'!$C$2:$C$87,"AC-*",'Traceability Matrix'!$F$2:$F$87,"Tam (çarpaz fayl)")</f>
        <v>7</v>
      </c>
      <c r="D11" s="9" t="n">
        <f aca="false">COUNTIFS('Traceability Matrix'!$B$2:$B$87,"GRAD-303",'Traceability Matrix'!$C$2:$C$87,"AC-*",'Traceability Matrix'!$F$2:$F$87,"Qismən")+COUNTIFS('Traceability Matrix'!$B$2:$B$87,"GRAD-303",'Traceability Matrix'!$C$2:$C$87,"AC-*",'Traceability Matrix'!$F$2:$F$87,"Qismən (deviation)")</f>
        <v>1</v>
      </c>
      <c r="E11" s="9" t="n">
        <f aca="false">COUNTIFS('Traceability Matrix'!$B$2:$B$87,"GRAD-303",'Traceability Matrix'!$C$2:$C$87,"AC-*",'Traceability Matrix'!$F$2:$F$87,"YOXDUR")</f>
        <v>0</v>
      </c>
      <c r="F11" s="3" t="s">
        <v>228</v>
      </c>
    </row>
    <row r="12" customFormat="false" ht="15" hidden="false" customHeight="true" outlineLevel="0" collapsed="false">
      <c r="A12" s="10" t="s">
        <v>273</v>
      </c>
      <c r="B12" s="10" t="n">
        <f aca="false">SUM(B2:B11)</f>
        <v>69</v>
      </c>
      <c r="C12" s="10" t="n">
        <f aca="false">SUM(C2:C11)</f>
        <v>55</v>
      </c>
      <c r="D12" s="10" t="n">
        <f aca="false">SUM(D2:D11)</f>
        <v>10</v>
      </c>
      <c r="E12" s="10" t="n">
        <f aca="false">SUM(E2:E11)</f>
        <v>4</v>
      </c>
      <c r="F12" s="10"/>
    </row>
    <row r="14" customFormat="false" ht="21.75" hidden="false" customHeight="true" outlineLevel="0" collapsed="false">
      <c r="A14" s="11" t="s">
        <v>274</v>
      </c>
      <c r="B14" s="11"/>
      <c r="C14" s="11"/>
      <c r="D14" s="11"/>
      <c r="E14" s="11"/>
      <c r="F14" s="11"/>
    </row>
  </sheetData>
  <mergeCells count="1">
    <mergeCell ref="A14:F1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24"/>
    <col collapsed="false" customWidth="true" hidden="false" outlineLevel="0" max="3" min="3" style="0" width="11"/>
    <col collapsed="false" customWidth="true" hidden="false" outlineLevel="0" max="4" min="4" style="0" width="34"/>
    <col collapsed="false" customWidth="true" hidden="false" outlineLevel="0" max="5" min="5" style="0" width="40"/>
    <col collapsed="false" customWidth="true" hidden="false" outlineLevel="0" max="6" min="6" style="0" width="16"/>
    <col collapsed="false" customWidth="true" hidden="false" outlineLevel="0" max="7" min="7" style="0" width="11"/>
    <col collapsed="false" customWidth="true" hidden="false" outlineLevel="0" max="8" min="8" style="0" width="30"/>
    <col collapsed="false" customWidth="true" hidden="false" outlineLevel="0" max="9" min="9" style="0" width="40"/>
    <col collapsed="false" customWidth="true" hidden="false" outlineLevel="0" max="11" min="10" style="0" width="34"/>
    <col collapsed="false" customWidth="true" hidden="false" outlineLevel="0" max="12" min="12" style="0" width="22"/>
    <col collapsed="false" customWidth="true" hidden="false" outlineLevel="0" max="13" min="13" style="0" width="38"/>
    <col collapsed="false" customWidth="true" hidden="false" outlineLevel="0" max="14" min="14" style="0" width="18"/>
    <col collapsed="false" customWidth="true" hidden="false" outlineLevel="0" max="15" min="15" style="0" width="14"/>
    <col collapsed="false" customWidth="true" hidden="false" outlineLevel="0" max="16" min="16" style="0" width="34"/>
  </cols>
  <sheetData>
    <row r="1" customFormat="false" ht="30" hidden="false" customHeight="true" outlineLevel="0" collapsed="false">
      <c r="A1" s="12" t="s">
        <v>275</v>
      </c>
      <c r="B1" s="12" t="s">
        <v>0</v>
      </c>
      <c r="C1" s="12" t="s">
        <v>1</v>
      </c>
      <c r="D1" s="12" t="s">
        <v>276</v>
      </c>
      <c r="E1" s="12" t="s">
        <v>277</v>
      </c>
      <c r="F1" s="12" t="s">
        <v>278</v>
      </c>
      <c r="G1" s="12" t="s">
        <v>279</v>
      </c>
      <c r="H1" s="12" t="s">
        <v>280</v>
      </c>
      <c r="I1" s="12" t="s">
        <v>281</v>
      </c>
      <c r="J1" s="12" t="s">
        <v>282</v>
      </c>
      <c r="K1" s="12" t="s">
        <v>283</v>
      </c>
      <c r="L1" s="12" t="s">
        <v>284</v>
      </c>
      <c r="M1" s="12" t="s">
        <v>285</v>
      </c>
      <c r="N1" s="12" t="s">
        <v>286</v>
      </c>
      <c r="O1" s="12" t="s">
        <v>287</v>
      </c>
      <c r="P1" s="12" t="s">
        <v>288</v>
      </c>
    </row>
    <row r="2" customFormat="false" ht="68.65" hidden="false" customHeight="false" outlineLevel="0" collapsed="false">
      <c r="A2" s="3" t="s">
        <v>289</v>
      </c>
      <c r="B2" s="3" t="s">
        <v>9</v>
      </c>
      <c r="C2" s="3" t="s">
        <v>10</v>
      </c>
      <c r="D2" s="3" t="s">
        <v>290</v>
      </c>
      <c r="E2" s="3" t="s">
        <v>291</v>
      </c>
      <c r="F2" s="3" t="s">
        <v>292</v>
      </c>
      <c r="G2" s="3" t="s">
        <v>293</v>
      </c>
      <c r="H2" s="3" t="s">
        <v>294</v>
      </c>
      <c r="I2" s="3" t="s">
        <v>295</v>
      </c>
      <c r="J2" s="3" t="s">
        <v>296</v>
      </c>
      <c r="K2" s="3" t="s">
        <v>297</v>
      </c>
      <c r="L2" s="3" t="s">
        <v>298</v>
      </c>
      <c r="M2" s="3" t="s">
        <v>299</v>
      </c>
      <c r="N2" s="3" t="s">
        <v>300</v>
      </c>
      <c r="O2" s="4" t="s">
        <v>301</v>
      </c>
      <c r="P2" s="3"/>
    </row>
    <row r="3" customFormat="false" ht="68.65" hidden="false" customHeight="false" outlineLevel="0" collapsed="false">
      <c r="A3" s="3" t="s">
        <v>302</v>
      </c>
      <c r="B3" s="3" t="s">
        <v>9</v>
      </c>
      <c r="C3" s="3" t="s">
        <v>10</v>
      </c>
      <c r="D3" s="3" t="s">
        <v>303</v>
      </c>
      <c r="E3" s="3" t="s">
        <v>304</v>
      </c>
      <c r="F3" s="3" t="s">
        <v>292</v>
      </c>
      <c r="G3" s="3" t="s">
        <v>293</v>
      </c>
      <c r="H3" s="3" t="s">
        <v>294</v>
      </c>
      <c r="I3" s="3" t="s">
        <v>305</v>
      </c>
      <c r="J3" s="3" t="s">
        <v>306</v>
      </c>
      <c r="K3" s="3" t="s">
        <v>307</v>
      </c>
      <c r="L3" s="3" t="s">
        <v>298</v>
      </c>
      <c r="M3" s="3" t="s">
        <v>299</v>
      </c>
      <c r="N3" s="3" t="s">
        <v>300</v>
      </c>
      <c r="O3" s="4" t="s">
        <v>301</v>
      </c>
      <c r="P3" s="3"/>
    </row>
    <row r="4" customFormat="false" ht="79.85" hidden="false" customHeight="false" outlineLevel="0" collapsed="false">
      <c r="A4" s="3" t="s">
        <v>308</v>
      </c>
      <c r="B4" s="3" t="s">
        <v>9</v>
      </c>
      <c r="C4" s="3" t="s">
        <v>10</v>
      </c>
      <c r="D4" s="3" t="s">
        <v>309</v>
      </c>
      <c r="E4" s="3" t="s">
        <v>310</v>
      </c>
      <c r="F4" s="3" t="s">
        <v>292</v>
      </c>
      <c r="G4" s="3" t="s">
        <v>293</v>
      </c>
      <c r="H4" s="3" t="s">
        <v>294</v>
      </c>
      <c r="I4" s="3" t="s">
        <v>311</v>
      </c>
      <c r="J4" s="3" t="s">
        <v>312</v>
      </c>
      <c r="K4" s="3" t="s">
        <v>313</v>
      </c>
      <c r="L4" s="3" t="s">
        <v>298</v>
      </c>
      <c r="M4" s="3" t="s">
        <v>299</v>
      </c>
      <c r="N4" s="3" t="s">
        <v>300</v>
      </c>
      <c r="O4" s="4" t="s">
        <v>301</v>
      </c>
      <c r="P4" s="3"/>
    </row>
    <row r="5" customFormat="false" ht="57.45" hidden="false" customHeight="false" outlineLevel="0" collapsed="false">
      <c r="A5" s="3" t="s">
        <v>314</v>
      </c>
      <c r="B5" s="3" t="s">
        <v>9</v>
      </c>
      <c r="C5" s="3" t="s">
        <v>10</v>
      </c>
      <c r="D5" s="3" t="s">
        <v>315</v>
      </c>
      <c r="E5" s="3" t="s">
        <v>316</v>
      </c>
      <c r="F5" s="3" t="s">
        <v>317</v>
      </c>
      <c r="G5" s="3" t="s">
        <v>293</v>
      </c>
      <c r="H5" s="3" t="s">
        <v>294</v>
      </c>
      <c r="I5" s="3" t="s">
        <v>318</v>
      </c>
      <c r="J5" s="3" t="s">
        <v>319</v>
      </c>
      <c r="K5" s="3" t="s">
        <v>320</v>
      </c>
      <c r="L5" s="3" t="s">
        <v>298</v>
      </c>
      <c r="M5" s="3" t="s">
        <v>299</v>
      </c>
      <c r="N5" s="3" t="s">
        <v>300</v>
      </c>
      <c r="O5" s="4" t="s">
        <v>301</v>
      </c>
      <c r="P5" s="3"/>
    </row>
    <row r="6" customFormat="false" ht="68.65" hidden="false" customHeight="false" outlineLevel="0" collapsed="false">
      <c r="A6" s="3" t="s">
        <v>321</v>
      </c>
      <c r="B6" s="3" t="s">
        <v>9</v>
      </c>
      <c r="C6" s="3" t="s">
        <v>10</v>
      </c>
      <c r="D6" s="3" t="s">
        <v>322</v>
      </c>
      <c r="E6" s="3" t="s">
        <v>323</v>
      </c>
      <c r="F6" s="3" t="s">
        <v>324</v>
      </c>
      <c r="G6" s="3" t="s">
        <v>293</v>
      </c>
      <c r="H6" s="3" t="s">
        <v>294</v>
      </c>
      <c r="I6" s="3" t="s">
        <v>325</v>
      </c>
      <c r="J6" s="3" t="s">
        <v>326</v>
      </c>
      <c r="K6" s="3" t="s">
        <v>327</v>
      </c>
      <c r="L6" s="3" t="s">
        <v>298</v>
      </c>
      <c r="M6" s="3" t="s">
        <v>299</v>
      </c>
      <c r="N6" s="3" t="s">
        <v>300</v>
      </c>
      <c r="O6" s="4" t="s">
        <v>301</v>
      </c>
      <c r="P6" s="3"/>
    </row>
    <row r="7" customFormat="false" ht="68.65" hidden="false" customHeight="false" outlineLevel="0" collapsed="false">
      <c r="A7" s="3" t="s">
        <v>328</v>
      </c>
      <c r="B7" s="3" t="s">
        <v>9</v>
      </c>
      <c r="C7" s="3" t="s">
        <v>10</v>
      </c>
      <c r="D7" s="3" t="s">
        <v>329</v>
      </c>
      <c r="E7" s="3" t="s">
        <v>330</v>
      </c>
      <c r="F7" s="3" t="s">
        <v>324</v>
      </c>
      <c r="G7" s="3" t="s">
        <v>293</v>
      </c>
      <c r="H7" s="3" t="s">
        <v>294</v>
      </c>
      <c r="I7" s="3" t="s">
        <v>331</v>
      </c>
      <c r="J7" s="3" t="s">
        <v>332</v>
      </c>
      <c r="K7" s="3" t="s">
        <v>333</v>
      </c>
      <c r="L7" s="3" t="s">
        <v>298</v>
      </c>
      <c r="M7" s="3" t="s">
        <v>299</v>
      </c>
      <c r="N7" s="3" t="s">
        <v>300</v>
      </c>
      <c r="O7" s="4" t="s">
        <v>301</v>
      </c>
      <c r="P7" s="3"/>
    </row>
    <row r="8" customFormat="false" ht="68.65" hidden="false" customHeight="false" outlineLevel="0" collapsed="false">
      <c r="A8" s="3" t="s">
        <v>334</v>
      </c>
      <c r="B8" s="3" t="s">
        <v>9</v>
      </c>
      <c r="C8" s="3" t="s">
        <v>10</v>
      </c>
      <c r="D8" s="3" t="s">
        <v>335</v>
      </c>
      <c r="E8" s="3" t="s">
        <v>336</v>
      </c>
      <c r="F8" s="3" t="s">
        <v>324</v>
      </c>
      <c r="G8" s="3" t="s">
        <v>293</v>
      </c>
      <c r="H8" s="3" t="s">
        <v>294</v>
      </c>
      <c r="I8" s="3" t="s">
        <v>337</v>
      </c>
      <c r="J8" s="3" t="s">
        <v>338</v>
      </c>
      <c r="K8" s="3" t="s">
        <v>333</v>
      </c>
      <c r="L8" s="3" t="s">
        <v>298</v>
      </c>
      <c r="M8" s="3" t="s">
        <v>299</v>
      </c>
      <c r="N8" s="3" t="s">
        <v>300</v>
      </c>
      <c r="O8" s="4" t="s">
        <v>301</v>
      </c>
      <c r="P8" s="3"/>
    </row>
    <row r="9" customFormat="false" ht="68.65" hidden="false" customHeight="false" outlineLevel="0" collapsed="false">
      <c r="A9" s="3" t="s">
        <v>339</v>
      </c>
      <c r="B9" s="3" t="s">
        <v>9</v>
      </c>
      <c r="C9" s="3" t="s">
        <v>10</v>
      </c>
      <c r="D9" s="3" t="s">
        <v>340</v>
      </c>
      <c r="E9" s="3" t="s">
        <v>341</v>
      </c>
      <c r="F9" s="3" t="s">
        <v>324</v>
      </c>
      <c r="G9" s="3" t="s">
        <v>293</v>
      </c>
      <c r="H9" s="3" t="s">
        <v>294</v>
      </c>
      <c r="I9" s="3" t="s">
        <v>342</v>
      </c>
      <c r="J9" s="3" t="s">
        <v>343</v>
      </c>
      <c r="K9" s="3" t="s">
        <v>327</v>
      </c>
      <c r="L9" s="3" t="s">
        <v>298</v>
      </c>
      <c r="M9" s="3" t="s">
        <v>299</v>
      </c>
      <c r="N9" s="3" t="s">
        <v>300</v>
      </c>
      <c r="O9" s="4" t="s">
        <v>301</v>
      </c>
      <c r="P9" s="3"/>
    </row>
    <row r="10" customFormat="false" ht="68.65" hidden="false" customHeight="false" outlineLevel="0" collapsed="false">
      <c r="A10" s="3" t="s">
        <v>344</v>
      </c>
      <c r="B10" s="3" t="s">
        <v>9</v>
      </c>
      <c r="C10" s="3" t="s">
        <v>10</v>
      </c>
      <c r="D10" s="3" t="s">
        <v>345</v>
      </c>
      <c r="E10" s="3" t="s">
        <v>346</v>
      </c>
      <c r="F10" s="3" t="s">
        <v>317</v>
      </c>
      <c r="G10" s="3" t="s">
        <v>293</v>
      </c>
      <c r="H10" s="3" t="s">
        <v>294</v>
      </c>
      <c r="I10" s="3" t="s">
        <v>347</v>
      </c>
      <c r="J10" s="3" t="s">
        <v>348</v>
      </c>
      <c r="K10" s="3" t="s">
        <v>320</v>
      </c>
      <c r="L10" s="3" t="s">
        <v>298</v>
      </c>
      <c r="M10" s="3" t="s">
        <v>299</v>
      </c>
      <c r="N10" s="3" t="s">
        <v>300</v>
      </c>
      <c r="O10" s="4" t="s">
        <v>301</v>
      </c>
      <c r="P10" s="3"/>
    </row>
    <row r="11" customFormat="false" ht="68.65" hidden="false" customHeight="false" outlineLevel="0" collapsed="false">
      <c r="A11" s="3" t="s">
        <v>349</v>
      </c>
      <c r="B11" s="3" t="s">
        <v>9</v>
      </c>
      <c r="C11" s="3" t="s">
        <v>10</v>
      </c>
      <c r="D11" s="3" t="s">
        <v>350</v>
      </c>
      <c r="E11" s="3" t="s">
        <v>351</v>
      </c>
      <c r="F11" s="3" t="s">
        <v>317</v>
      </c>
      <c r="G11" s="3" t="s">
        <v>293</v>
      </c>
      <c r="H11" s="3" t="s">
        <v>294</v>
      </c>
      <c r="I11" s="3" t="s">
        <v>352</v>
      </c>
      <c r="J11" s="3" t="s">
        <v>353</v>
      </c>
      <c r="K11" s="3" t="s">
        <v>320</v>
      </c>
      <c r="L11" s="3" t="s">
        <v>298</v>
      </c>
      <c r="M11" s="3" t="s">
        <v>299</v>
      </c>
      <c r="N11" s="3" t="s">
        <v>300</v>
      </c>
      <c r="O11" s="4" t="s">
        <v>301</v>
      </c>
      <c r="P11" s="3"/>
    </row>
    <row r="12" customFormat="false" ht="124.6" hidden="false" customHeight="false" outlineLevel="0" collapsed="false">
      <c r="A12" s="3" t="s">
        <v>354</v>
      </c>
      <c r="B12" s="3" t="s">
        <v>9</v>
      </c>
      <c r="C12" s="3" t="s">
        <v>10</v>
      </c>
      <c r="D12" s="3" t="s">
        <v>355</v>
      </c>
      <c r="E12" s="3" t="s">
        <v>356</v>
      </c>
      <c r="F12" s="3" t="s">
        <v>317</v>
      </c>
      <c r="G12" s="3" t="s">
        <v>293</v>
      </c>
      <c r="H12" s="3" t="s">
        <v>294</v>
      </c>
      <c r="I12" s="3" t="s">
        <v>357</v>
      </c>
      <c r="J12" s="3" t="s">
        <v>358</v>
      </c>
      <c r="K12" s="3" t="s">
        <v>359</v>
      </c>
      <c r="L12" s="3" t="s">
        <v>298</v>
      </c>
      <c r="M12" s="3" t="s">
        <v>299</v>
      </c>
      <c r="N12" s="3" t="s">
        <v>300</v>
      </c>
      <c r="O12" s="4" t="s">
        <v>301</v>
      </c>
      <c r="P12" s="3"/>
    </row>
    <row r="13" customFormat="false" ht="102.2" hidden="false" customHeight="false" outlineLevel="0" collapsed="false">
      <c r="A13" s="3" t="s">
        <v>360</v>
      </c>
      <c r="B13" s="3" t="s">
        <v>9</v>
      </c>
      <c r="C13" s="3" t="s">
        <v>10</v>
      </c>
      <c r="D13" s="3" t="s">
        <v>361</v>
      </c>
      <c r="E13" s="3" t="s">
        <v>362</v>
      </c>
      <c r="F13" s="3" t="s">
        <v>317</v>
      </c>
      <c r="G13" s="3" t="s">
        <v>293</v>
      </c>
      <c r="H13" s="3" t="s">
        <v>294</v>
      </c>
      <c r="I13" s="3" t="s">
        <v>363</v>
      </c>
      <c r="J13" s="3" t="s">
        <v>364</v>
      </c>
      <c r="K13" s="3" t="s">
        <v>365</v>
      </c>
      <c r="L13" s="3" t="s">
        <v>298</v>
      </c>
      <c r="M13" s="3" t="s">
        <v>299</v>
      </c>
      <c r="N13" s="3" t="s">
        <v>300</v>
      </c>
      <c r="O13" s="4" t="s">
        <v>301</v>
      </c>
      <c r="P13" s="3"/>
    </row>
    <row r="14" customFormat="false" ht="68.65" hidden="false" customHeight="false" outlineLevel="0" collapsed="false">
      <c r="A14" s="3" t="s">
        <v>366</v>
      </c>
      <c r="B14" s="3" t="s">
        <v>9</v>
      </c>
      <c r="C14" s="3" t="s">
        <v>10</v>
      </c>
      <c r="D14" s="3" t="s">
        <v>367</v>
      </c>
      <c r="E14" s="3" t="s">
        <v>368</v>
      </c>
      <c r="F14" s="3" t="s">
        <v>317</v>
      </c>
      <c r="G14" s="3" t="s">
        <v>293</v>
      </c>
      <c r="H14" s="3" t="s">
        <v>294</v>
      </c>
      <c r="I14" s="3" t="s">
        <v>369</v>
      </c>
      <c r="J14" s="3" t="s">
        <v>370</v>
      </c>
      <c r="K14" s="3" t="s">
        <v>371</v>
      </c>
      <c r="L14" s="3" t="s">
        <v>298</v>
      </c>
      <c r="M14" s="3" t="s">
        <v>299</v>
      </c>
      <c r="N14" s="3" t="s">
        <v>300</v>
      </c>
      <c r="O14" s="4" t="s">
        <v>301</v>
      </c>
      <c r="P14" s="3"/>
    </row>
    <row r="15" customFormat="false" ht="404.45" hidden="false" customHeight="false" outlineLevel="0" collapsed="false">
      <c r="A15" s="3" t="s">
        <v>372</v>
      </c>
      <c r="B15" s="3" t="s">
        <v>9</v>
      </c>
      <c r="C15" s="3" t="s">
        <v>10</v>
      </c>
      <c r="D15" s="3" t="s">
        <v>373</v>
      </c>
      <c r="E15" s="3" t="s">
        <v>374</v>
      </c>
      <c r="F15" s="3" t="s">
        <v>324</v>
      </c>
      <c r="G15" s="3" t="s">
        <v>293</v>
      </c>
      <c r="H15" s="3" t="s">
        <v>294</v>
      </c>
      <c r="I15" s="3" t="s">
        <v>375</v>
      </c>
      <c r="J15" s="3" t="s">
        <v>376</v>
      </c>
      <c r="K15" s="3" t="s">
        <v>377</v>
      </c>
      <c r="L15" s="3" t="s">
        <v>298</v>
      </c>
      <c r="M15" s="3" t="s">
        <v>299</v>
      </c>
      <c r="N15" s="3" t="s">
        <v>300</v>
      </c>
      <c r="O15" s="4" t="s">
        <v>301</v>
      </c>
      <c r="P15" s="3"/>
    </row>
    <row r="16" customFormat="false" ht="57.45" hidden="false" customHeight="false" outlineLevel="0" collapsed="false">
      <c r="A16" s="3" t="s">
        <v>378</v>
      </c>
      <c r="B16" s="3" t="s">
        <v>9</v>
      </c>
      <c r="C16" s="3" t="s">
        <v>10</v>
      </c>
      <c r="D16" s="3" t="s">
        <v>379</v>
      </c>
      <c r="E16" s="3" t="s">
        <v>380</v>
      </c>
      <c r="F16" s="3" t="s">
        <v>381</v>
      </c>
      <c r="G16" s="3" t="s">
        <v>293</v>
      </c>
      <c r="H16" s="3" t="s">
        <v>382</v>
      </c>
      <c r="I16" s="3" t="s">
        <v>383</v>
      </c>
      <c r="J16" s="3" t="s">
        <v>384</v>
      </c>
      <c r="K16" s="3" t="s">
        <v>385</v>
      </c>
      <c r="L16" s="3" t="s">
        <v>298</v>
      </c>
      <c r="M16" s="3" t="s">
        <v>299</v>
      </c>
      <c r="N16" s="3" t="s">
        <v>300</v>
      </c>
      <c r="O16" s="4" t="s">
        <v>301</v>
      </c>
      <c r="P16" s="3"/>
    </row>
    <row r="17" customFormat="false" ht="57.45" hidden="false" customHeight="false" outlineLevel="0" collapsed="false">
      <c r="A17" s="3" t="s">
        <v>386</v>
      </c>
      <c r="B17" s="3" t="s">
        <v>9</v>
      </c>
      <c r="C17" s="3" t="s">
        <v>10</v>
      </c>
      <c r="D17" s="3" t="s">
        <v>387</v>
      </c>
      <c r="E17" s="3" t="s">
        <v>388</v>
      </c>
      <c r="F17" s="3" t="s">
        <v>381</v>
      </c>
      <c r="G17" s="3" t="s">
        <v>293</v>
      </c>
      <c r="H17" s="3" t="s">
        <v>382</v>
      </c>
      <c r="I17" s="3" t="s">
        <v>389</v>
      </c>
      <c r="J17" s="3" t="s">
        <v>390</v>
      </c>
      <c r="K17" s="3" t="s">
        <v>385</v>
      </c>
      <c r="L17" s="3" t="s">
        <v>298</v>
      </c>
      <c r="M17" s="3" t="s">
        <v>299</v>
      </c>
      <c r="N17" s="3" t="s">
        <v>300</v>
      </c>
      <c r="O17" s="4" t="s">
        <v>301</v>
      </c>
      <c r="P17" s="3"/>
    </row>
    <row r="18" customFormat="false" ht="57.45" hidden="false" customHeight="false" outlineLevel="0" collapsed="false">
      <c r="A18" s="3" t="s">
        <v>391</v>
      </c>
      <c r="B18" s="3" t="s">
        <v>9</v>
      </c>
      <c r="C18" s="3" t="s">
        <v>10</v>
      </c>
      <c r="D18" s="3" t="s">
        <v>392</v>
      </c>
      <c r="E18" s="3" t="s">
        <v>393</v>
      </c>
      <c r="F18" s="3" t="s">
        <v>317</v>
      </c>
      <c r="G18" s="3" t="s">
        <v>293</v>
      </c>
      <c r="H18" s="3" t="s">
        <v>294</v>
      </c>
      <c r="I18" s="3" t="s">
        <v>394</v>
      </c>
      <c r="J18" s="3" t="s">
        <v>395</v>
      </c>
      <c r="K18" s="3" t="s">
        <v>396</v>
      </c>
      <c r="L18" s="3" t="s">
        <v>298</v>
      </c>
      <c r="M18" s="3" t="s">
        <v>299</v>
      </c>
      <c r="N18" s="3" t="s">
        <v>300</v>
      </c>
      <c r="O18" s="4" t="s">
        <v>301</v>
      </c>
      <c r="P18" s="3"/>
    </row>
    <row r="19" customFormat="false" ht="79.85" hidden="false" customHeight="false" outlineLevel="0" collapsed="false">
      <c r="A19" s="3" t="s">
        <v>397</v>
      </c>
      <c r="B19" s="3" t="s">
        <v>9</v>
      </c>
      <c r="C19" s="3" t="s">
        <v>10</v>
      </c>
      <c r="D19" s="3" t="s">
        <v>398</v>
      </c>
      <c r="E19" s="3" t="s">
        <v>399</v>
      </c>
      <c r="F19" s="3" t="s">
        <v>381</v>
      </c>
      <c r="G19" s="3" t="s">
        <v>293</v>
      </c>
      <c r="H19" s="3" t="s">
        <v>294</v>
      </c>
      <c r="I19" s="3" t="s">
        <v>400</v>
      </c>
      <c r="J19" s="3" t="s">
        <v>401</v>
      </c>
      <c r="K19" s="3" t="s">
        <v>320</v>
      </c>
      <c r="L19" s="3" t="s">
        <v>298</v>
      </c>
      <c r="M19" s="3" t="s">
        <v>299</v>
      </c>
      <c r="N19" s="3" t="s">
        <v>300</v>
      </c>
      <c r="O19" s="4" t="s">
        <v>301</v>
      </c>
      <c r="P19" s="3"/>
    </row>
    <row r="20" customFormat="false" ht="68.65" hidden="false" customHeight="false" outlineLevel="0" collapsed="false">
      <c r="A20" s="3" t="s">
        <v>402</v>
      </c>
      <c r="B20" s="3" t="s">
        <v>9</v>
      </c>
      <c r="C20" s="3" t="s">
        <v>10</v>
      </c>
      <c r="D20" s="3" t="s">
        <v>403</v>
      </c>
      <c r="E20" s="3" t="s">
        <v>404</v>
      </c>
      <c r="F20" s="3" t="s">
        <v>381</v>
      </c>
      <c r="G20" s="3" t="s">
        <v>293</v>
      </c>
      <c r="H20" s="3" t="s">
        <v>294</v>
      </c>
      <c r="I20" s="3" t="s">
        <v>405</v>
      </c>
      <c r="J20" s="3" t="s">
        <v>406</v>
      </c>
      <c r="K20" s="3" t="s">
        <v>327</v>
      </c>
      <c r="L20" s="3" t="s">
        <v>298</v>
      </c>
      <c r="M20" s="3" t="s">
        <v>299</v>
      </c>
      <c r="N20" s="3" t="s">
        <v>300</v>
      </c>
      <c r="O20" s="4" t="s">
        <v>301</v>
      </c>
      <c r="P20" s="3"/>
    </row>
    <row r="21" customFormat="false" ht="79.85" hidden="false" customHeight="false" outlineLevel="0" collapsed="false">
      <c r="A21" s="3" t="s">
        <v>407</v>
      </c>
      <c r="B21" s="3" t="s">
        <v>9</v>
      </c>
      <c r="C21" s="3" t="s">
        <v>10</v>
      </c>
      <c r="D21" s="3" t="s">
        <v>408</v>
      </c>
      <c r="E21" s="3" t="s">
        <v>409</v>
      </c>
      <c r="F21" s="3" t="s">
        <v>324</v>
      </c>
      <c r="G21" s="3" t="s">
        <v>293</v>
      </c>
      <c r="H21" s="3" t="s">
        <v>294</v>
      </c>
      <c r="I21" s="3" t="s">
        <v>410</v>
      </c>
      <c r="J21" s="3" t="s">
        <v>411</v>
      </c>
      <c r="K21" s="3" t="s">
        <v>333</v>
      </c>
      <c r="L21" s="3" t="s">
        <v>298</v>
      </c>
      <c r="M21" s="3" t="s">
        <v>299</v>
      </c>
      <c r="N21" s="3" t="s">
        <v>300</v>
      </c>
      <c r="O21" s="4" t="s">
        <v>301</v>
      </c>
      <c r="P21" s="3"/>
    </row>
    <row r="22" customFormat="false" ht="68.65" hidden="false" customHeight="false" outlineLevel="0" collapsed="false">
      <c r="A22" s="3" t="s">
        <v>412</v>
      </c>
      <c r="B22" s="3" t="s">
        <v>9</v>
      </c>
      <c r="C22" s="3" t="s">
        <v>10</v>
      </c>
      <c r="D22" s="3" t="s">
        <v>413</v>
      </c>
      <c r="E22" s="3" t="s">
        <v>414</v>
      </c>
      <c r="F22" s="3" t="s">
        <v>317</v>
      </c>
      <c r="G22" s="3" t="s">
        <v>293</v>
      </c>
      <c r="H22" s="3" t="s">
        <v>294</v>
      </c>
      <c r="I22" s="3" t="s">
        <v>415</v>
      </c>
      <c r="J22" s="3" t="s">
        <v>416</v>
      </c>
      <c r="K22" s="3" t="s">
        <v>417</v>
      </c>
      <c r="L22" s="3" t="s">
        <v>298</v>
      </c>
      <c r="M22" s="3" t="s">
        <v>299</v>
      </c>
      <c r="N22" s="3" t="s">
        <v>300</v>
      </c>
      <c r="O22" s="4" t="s">
        <v>301</v>
      </c>
      <c r="P22" s="3"/>
    </row>
    <row r="23" customFormat="false" ht="68.65" hidden="false" customHeight="false" outlineLevel="0" collapsed="false">
      <c r="A23" s="3" t="s">
        <v>418</v>
      </c>
      <c r="B23" s="3" t="s">
        <v>9</v>
      </c>
      <c r="C23" s="3" t="s">
        <v>10</v>
      </c>
      <c r="D23" s="3" t="s">
        <v>419</v>
      </c>
      <c r="E23" s="3" t="s">
        <v>420</v>
      </c>
      <c r="F23" s="3" t="s">
        <v>317</v>
      </c>
      <c r="G23" s="3" t="s">
        <v>293</v>
      </c>
      <c r="H23" s="3" t="s">
        <v>294</v>
      </c>
      <c r="I23" s="3" t="s">
        <v>421</v>
      </c>
      <c r="J23" s="3" t="s">
        <v>422</v>
      </c>
      <c r="K23" s="3" t="s">
        <v>417</v>
      </c>
      <c r="L23" s="3" t="s">
        <v>298</v>
      </c>
      <c r="M23" s="3" t="s">
        <v>299</v>
      </c>
      <c r="N23" s="3" t="s">
        <v>300</v>
      </c>
      <c r="O23" s="4" t="s">
        <v>301</v>
      </c>
      <c r="P23" s="3"/>
    </row>
    <row r="24" customFormat="false" ht="57.45" hidden="false" customHeight="false" outlineLevel="0" collapsed="false">
      <c r="A24" s="3" t="s">
        <v>423</v>
      </c>
      <c r="B24" s="3" t="s">
        <v>9</v>
      </c>
      <c r="C24" s="3" t="s">
        <v>52</v>
      </c>
      <c r="D24" s="3" t="s">
        <v>424</v>
      </c>
      <c r="E24" s="3" t="s">
        <v>425</v>
      </c>
      <c r="F24" s="3" t="s">
        <v>292</v>
      </c>
      <c r="G24" s="3" t="s">
        <v>426</v>
      </c>
      <c r="H24" s="3" t="s">
        <v>382</v>
      </c>
      <c r="I24" s="3" t="s">
        <v>427</v>
      </c>
      <c r="J24" s="3" t="s">
        <v>103</v>
      </c>
      <c r="K24" s="3" t="s">
        <v>385</v>
      </c>
      <c r="L24" s="3" t="s">
        <v>298</v>
      </c>
      <c r="M24" s="3" t="s">
        <v>299</v>
      </c>
      <c r="N24" s="3" t="s">
        <v>300</v>
      </c>
      <c r="O24" s="4" t="s">
        <v>301</v>
      </c>
      <c r="P24" s="3"/>
    </row>
    <row r="25" customFormat="false" ht="57.45" hidden="false" customHeight="false" outlineLevel="0" collapsed="false">
      <c r="A25" s="3" t="s">
        <v>428</v>
      </c>
      <c r="B25" s="3" t="s">
        <v>9</v>
      </c>
      <c r="C25" s="3" t="s">
        <v>52</v>
      </c>
      <c r="D25" s="3" t="s">
        <v>429</v>
      </c>
      <c r="E25" s="3" t="s">
        <v>430</v>
      </c>
      <c r="F25" s="3" t="s">
        <v>317</v>
      </c>
      <c r="G25" s="3" t="s">
        <v>426</v>
      </c>
      <c r="H25" s="3" t="s">
        <v>294</v>
      </c>
      <c r="I25" s="3" t="s">
        <v>431</v>
      </c>
      <c r="J25" s="3" t="s">
        <v>432</v>
      </c>
      <c r="K25" s="3" t="s">
        <v>433</v>
      </c>
      <c r="L25" s="3" t="s">
        <v>298</v>
      </c>
      <c r="M25" s="3" t="s">
        <v>299</v>
      </c>
      <c r="N25" s="3" t="s">
        <v>300</v>
      </c>
      <c r="O25" s="4" t="s">
        <v>301</v>
      </c>
      <c r="P25" s="3"/>
    </row>
    <row r="26" customFormat="false" ht="57.45" hidden="false" customHeight="false" outlineLevel="0" collapsed="false">
      <c r="A26" s="3" t="s">
        <v>434</v>
      </c>
      <c r="B26" s="3" t="s">
        <v>9</v>
      </c>
      <c r="C26" s="3" t="s">
        <v>52</v>
      </c>
      <c r="D26" s="3" t="s">
        <v>435</v>
      </c>
      <c r="E26" s="3" t="s">
        <v>436</v>
      </c>
      <c r="F26" s="3" t="s">
        <v>292</v>
      </c>
      <c r="G26" s="3" t="s">
        <v>426</v>
      </c>
      <c r="H26" s="3" t="s">
        <v>294</v>
      </c>
      <c r="I26" s="3" t="s">
        <v>431</v>
      </c>
      <c r="J26" s="3" t="s">
        <v>432</v>
      </c>
      <c r="K26" s="3" t="s">
        <v>437</v>
      </c>
      <c r="L26" s="3" t="s">
        <v>298</v>
      </c>
      <c r="M26" s="3" t="s">
        <v>299</v>
      </c>
      <c r="N26" s="3" t="s">
        <v>300</v>
      </c>
      <c r="O26" s="4" t="s">
        <v>301</v>
      </c>
      <c r="P26" s="3"/>
    </row>
    <row r="27" customFormat="false" ht="57.45" hidden="false" customHeight="false" outlineLevel="0" collapsed="false">
      <c r="A27" s="3" t="s">
        <v>438</v>
      </c>
      <c r="B27" s="3" t="s">
        <v>9</v>
      </c>
      <c r="C27" s="3" t="s">
        <v>52</v>
      </c>
      <c r="D27" s="3" t="s">
        <v>439</v>
      </c>
      <c r="E27" s="3" t="s">
        <v>440</v>
      </c>
      <c r="F27" s="3" t="s">
        <v>317</v>
      </c>
      <c r="G27" s="3" t="s">
        <v>426</v>
      </c>
      <c r="H27" s="3" t="s">
        <v>294</v>
      </c>
      <c r="I27" s="3" t="s">
        <v>431</v>
      </c>
      <c r="J27" s="3" t="s">
        <v>432</v>
      </c>
      <c r="K27" s="3" t="s">
        <v>320</v>
      </c>
      <c r="L27" s="3" t="s">
        <v>298</v>
      </c>
      <c r="M27" s="3" t="s">
        <v>299</v>
      </c>
      <c r="N27" s="3" t="s">
        <v>300</v>
      </c>
      <c r="O27" s="4" t="s">
        <v>301</v>
      </c>
      <c r="P27" s="3"/>
    </row>
    <row r="28" customFormat="false" ht="124.6" hidden="false" customHeight="false" outlineLevel="0" collapsed="false">
      <c r="A28" s="3" t="s">
        <v>441</v>
      </c>
      <c r="B28" s="3" t="s">
        <v>9</v>
      </c>
      <c r="C28" s="3" t="s">
        <v>52</v>
      </c>
      <c r="D28" s="3" t="s">
        <v>442</v>
      </c>
      <c r="E28" s="3" t="s">
        <v>443</v>
      </c>
      <c r="F28" s="3" t="s">
        <v>292</v>
      </c>
      <c r="G28" s="3" t="s">
        <v>426</v>
      </c>
      <c r="H28" s="3" t="s">
        <v>294</v>
      </c>
      <c r="I28" s="3" t="s">
        <v>444</v>
      </c>
      <c r="J28" s="3" t="s">
        <v>445</v>
      </c>
      <c r="K28" s="3" t="s">
        <v>333</v>
      </c>
      <c r="L28" s="3" t="s">
        <v>298</v>
      </c>
      <c r="M28" s="3" t="s">
        <v>299</v>
      </c>
      <c r="N28" s="3" t="s">
        <v>300</v>
      </c>
      <c r="O28" s="4" t="s">
        <v>301</v>
      </c>
      <c r="P28" s="3"/>
    </row>
    <row r="29" customFormat="false" ht="124.6" hidden="false" customHeight="false" outlineLevel="0" collapsed="false">
      <c r="A29" s="3" t="s">
        <v>446</v>
      </c>
      <c r="B29" s="3" t="s">
        <v>9</v>
      </c>
      <c r="C29" s="3" t="s">
        <v>52</v>
      </c>
      <c r="D29" s="3" t="s">
        <v>447</v>
      </c>
      <c r="E29" s="3" t="s">
        <v>448</v>
      </c>
      <c r="F29" s="3" t="s">
        <v>292</v>
      </c>
      <c r="G29" s="3" t="s">
        <v>426</v>
      </c>
      <c r="H29" s="3" t="s">
        <v>294</v>
      </c>
      <c r="I29" s="3" t="s">
        <v>449</v>
      </c>
      <c r="J29" s="3" t="s">
        <v>450</v>
      </c>
      <c r="K29" s="3" t="s">
        <v>451</v>
      </c>
      <c r="L29" s="3" t="s">
        <v>298</v>
      </c>
      <c r="M29" s="3" t="s">
        <v>299</v>
      </c>
      <c r="N29" s="3" t="s">
        <v>300</v>
      </c>
      <c r="O29" s="4" t="s">
        <v>301</v>
      </c>
      <c r="P29" s="3"/>
    </row>
    <row r="30" customFormat="false" ht="147" hidden="false" customHeight="false" outlineLevel="0" collapsed="false">
      <c r="A30" s="3" t="s">
        <v>452</v>
      </c>
      <c r="B30" s="3" t="s">
        <v>9</v>
      </c>
      <c r="C30" s="3" t="s">
        <v>52</v>
      </c>
      <c r="D30" s="3" t="s">
        <v>453</v>
      </c>
      <c r="E30" s="3" t="s">
        <v>454</v>
      </c>
      <c r="F30" s="3" t="s">
        <v>292</v>
      </c>
      <c r="G30" s="3" t="s">
        <v>426</v>
      </c>
      <c r="H30" s="3" t="s">
        <v>294</v>
      </c>
      <c r="I30" s="3" t="s">
        <v>455</v>
      </c>
      <c r="J30" s="3" t="s">
        <v>456</v>
      </c>
      <c r="K30" s="3" t="s">
        <v>457</v>
      </c>
      <c r="L30" s="3" t="s">
        <v>298</v>
      </c>
      <c r="M30" s="3" t="s">
        <v>299</v>
      </c>
      <c r="N30" s="3" t="s">
        <v>300</v>
      </c>
      <c r="O30" s="4" t="s">
        <v>301</v>
      </c>
      <c r="P30" s="3"/>
    </row>
    <row r="31" customFormat="false" ht="91" hidden="false" customHeight="false" outlineLevel="0" collapsed="false">
      <c r="A31" s="3" t="s">
        <v>458</v>
      </c>
      <c r="B31" s="3" t="s">
        <v>9</v>
      </c>
      <c r="C31" s="3" t="s">
        <v>52</v>
      </c>
      <c r="D31" s="3" t="s">
        <v>459</v>
      </c>
      <c r="E31" s="3" t="s">
        <v>460</v>
      </c>
      <c r="F31" s="3" t="s">
        <v>292</v>
      </c>
      <c r="G31" s="3" t="s">
        <v>426</v>
      </c>
      <c r="H31" s="3" t="s">
        <v>294</v>
      </c>
      <c r="I31" s="3" t="s">
        <v>461</v>
      </c>
      <c r="J31" s="3" t="s">
        <v>462</v>
      </c>
      <c r="K31" s="3" t="s">
        <v>457</v>
      </c>
      <c r="L31" s="3" t="s">
        <v>298</v>
      </c>
      <c r="M31" s="3" t="s">
        <v>299</v>
      </c>
      <c r="N31" s="3" t="s">
        <v>300</v>
      </c>
      <c r="O31" s="4" t="s">
        <v>301</v>
      </c>
      <c r="P31" s="3"/>
    </row>
    <row r="32" customFormat="false" ht="57.45" hidden="false" customHeight="false" outlineLevel="0" collapsed="false">
      <c r="A32" s="3" t="s">
        <v>463</v>
      </c>
      <c r="B32" s="3" t="s">
        <v>9</v>
      </c>
      <c r="C32" s="3" t="s">
        <v>52</v>
      </c>
      <c r="D32" s="3" t="s">
        <v>464</v>
      </c>
      <c r="E32" s="3" t="s">
        <v>465</v>
      </c>
      <c r="F32" s="3" t="s">
        <v>381</v>
      </c>
      <c r="G32" s="3" t="s">
        <v>426</v>
      </c>
      <c r="H32" s="3" t="s">
        <v>294</v>
      </c>
      <c r="I32" s="3" t="s">
        <v>431</v>
      </c>
      <c r="J32" s="3" t="s">
        <v>432</v>
      </c>
      <c r="K32" s="3" t="s">
        <v>457</v>
      </c>
      <c r="L32" s="3" t="s">
        <v>298</v>
      </c>
      <c r="M32" s="3" t="s">
        <v>299</v>
      </c>
      <c r="N32" s="3" t="s">
        <v>300</v>
      </c>
      <c r="O32" s="4" t="s">
        <v>301</v>
      </c>
      <c r="P32" s="3"/>
    </row>
    <row r="33" customFormat="false" ht="113.4" hidden="false" customHeight="false" outlineLevel="0" collapsed="false">
      <c r="A33" s="3" t="s">
        <v>466</v>
      </c>
      <c r="B33" s="3" t="s">
        <v>9</v>
      </c>
      <c r="C33" s="3" t="s">
        <v>52</v>
      </c>
      <c r="D33" s="3" t="s">
        <v>467</v>
      </c>
      <c r="E33" s="3" t="s">
        <v>468</v>
      </c>
      <c r="F33" s="3" t="s">
        <v>292</v>
      </c>
      <c r="G33" s="3" t="s">
        <v>426</v>
      </c>
      <c r="H33" s="3" t="s">
        <v>294</v>
      </c>
      <c r="I33" s="3" t="s">
        <v>469</v>
      </c>
      <c r="J33" s="3" t="s">
        <v>470</v>
      </c>
      <c r="K33" s="3" t="s">
        <v>471</v>
      </c>
      <c r="L33" s="3" t="s">
        <v>298</v>
      </c>
      <c r="M33" s="3" t="s">
        <v>299</v>
      </c>
      <c r="N33" s="3" t="s">
        <v>300</v>
      </c>
      <c r="O33" s="4" t="s">
        <v>301</v>
      </c>
      <c r="P33" s="3"/>
    </row>
    <row r="34" customFormat="false" ht="79.85" hidden="false" customHeight="false" outlineLevel="0" collapsed="false">
      <c r="A34" s="3" t="s">
        <v>472</v>
      </c>
      <c r="B34" s="3" t="s">
        <v>9</v>
      </c>
      <c r="C34" s="3" t="s">
        <v>52</v>
      </c>
      <c r="D34" s="3" t="s">
        <v>473</v>
      </c>
      <c r="E34" s="3" t="s">
        <v>474</v>
      </c>
      <c r="F34" s="3" t="s">
        <v>292</v>
      </c>
      <c r="G34" s="3" t="s">
        <v>426</v>
      </c>
      <c r="H34" s="3" t="s">
        <v>294</v>
      </c>
      <c r="I34" s="3" t="s">
        <v>475</v>
      </c>
      <c r="J34" s="3" t="s">
        <v>476</v>
      </c>
      <c r="K34" s="3" t="s">
        <v>457</v>
      </c>
      <c r="L34" s="3" t="s">
        <v>298</v>
      </c>
      <c r="M34" s="3" t="s">
        <v>299</v>
      </c>
      <c r="N34" s="3" t="s">
        <v>300</v>
      </c>
      <c r="O34" s="4" t="s">
        <v>301</v>
      </c>
      <c r="P34" s="3"/>
    </row>
    <row r="35" customFormat="false" ht="79.85" hidden="false" customHeight="false" outlineLevel="0" collapsed="false">
      <c r="A35" s="3" t="s">
        <v>477</v>
      </c>
      <c r="B35" s="3" t="s">
        <v>9</v>
      </c>
      <c r="C35" s="3" t="s">
        <v>74</v>
      </c>
      <c r="D35" s="3" t="s">
        <v>478</v>
      </c>
      <c r="E35" s="3" t="s">
        <v>479</v>
      </c>
      <c r="F35" s="3" t="s">
        <v>292</v>
      </c>
      <c r="G35" s="3" t="s">
        <v>293</v>
      </c>
      <c r="H35" s="3" t="s">
        <v>294</v>
      </c>
      <c r="I35" s="3" t="s">
        <v>480</v>
      </c>
      <c r="J35" s="3" t="s">
        <v>481</v>
      </c>
      <c r="K35" s="3" t="s">
        <v>482</v>
      </c>
      <c r="L35" s="3" t="s">
        <v>298</v>
      </c>
      <c r="M35" s="3" t="s">
        <v>299</v>
      </c>
      <c r="N35" s="3" t="s">
        <v>300</v>
      </c>
      <c r="O35" s="4" t="s">
        <v>301</v>
      </c>
      <c r="P35" s="3"/>
    </row>
    <row r="36" customFormat="false" ht="147" hidden="false" customHeight="false" outlineLevel="0" collapsed="false">
      <c r="A36" s="3" t="s">
        <v>483</v>
      </c>
      <c r="B36" s="3" t="s">
        <v>9</v>
      </c>
      <c r="C36" s="3" t="s">
        <v>74</v>
      </c>
      <c r="D36" s="3" t="s">
        <v>484</v>
      </c>
      <c r="E36" s="3" t="s">
        <v>485</v>
      </c>
      <c r="F36" s="3" t="s">
        <v>292</v>
      </c>
      <c r="G36" s="3" t="s">
        <v>293</v>
      </c>
      <c r="H36" s="3" t="s">
        <v>294</v>
      </c>
      <c r="I36" s="3" t="s">
        <v>486</v>
      </c>
      <c r="J36" s="3" t="s">
        <v>487</v>
      </c>
      <c r="K36" s="3" t="s">
        <v>488</v>
      </c>
      <c r="L36" s="3" t="s">
        <v>298</v>
      </c>
      <c r="M36" s="3" t="s">
        <v>299</v>
      </c>
      <c r="N36" s="3" t="s">
        <v>300</v>
      </c>
      <c r="O36" s="4" t="s">
        <v>301</v>
      </c>
      <c r="P36" s="3"/>
    </row>
    <row r="37" customFormat="false" ht="102.2" hidden="false" customHeight="false" outlineLevel="0" collapsed="false">
      <c r="A37" s="3" t="s">
        <v>489</v>
      </c>
      <c r="B37" s="3" t="s">
        <v>9</v>
      </c>
      <c r="C37" s="3" t="s">
        <v>74</v>
      </c>
      <c r="D37" s="3" t="s">
        <v>490</v>
      </c>
      <c r="E37" s="3" t="s">
        <v>491</v>
      </c>
      <c r="F37" s="3" t="s">
        <v>292</v>
      </c>
      <c r="G37" s="3" t="s">
        <v>293</v>
      </c>
      <c r="H37" s="3" t="s">
        <v>294</v>
      </c>
      <c r="I37" s="3" t="s">
        <v>492</v>
      </c>
      <c r="J37" s="3" t="s">
        <v>493</v>
      </c>
      <c r="K37" s="3" t="s">
        <v>494</v>
      </c>
      <c r="L37" s="3" t="s">
        <v>298</v>
      </c>
      <c r="M37" s="3" t="s">
        <v>299</v>
      </c>
      <c r="N37" s="3" t="s">
        <v>300</v>
      </c>
      <c r="O37" s="4" t="s">
        <v>301</v>
      </c>
      <c r="P37" s="3"/>
    </row>
    <row r="38" customFormat="false" ht="57.45" hidden="false" customHeight="false" outlineLevel="0" collapsed="false">
      <c r="A38" s="3" t="s">
        <v>495</v>
      </c>
      <c r="B38" s="3" t="s">
        <v>9</v>
      </c>
      <c r="C38" s="3" t="s">
        <v>74</v>
      </c>
      <c r="D38" s="3" t="s">
        <v>496</v>
      </c>
      <c r="E38" s="3" t="s">
        <v>497</v>
      </c>
      <c r="F38" s="3" t="s">
        <v>292</v>
      </c>
      <c r="G38" s="3" t="s">
        <v>293</v>
      </c>
      <c r="H38" s="3" t="s">
        <v>382</v>
      </c>
      <c r="I38" s="3" t="s">
        <v>498</v>
      </c>
      <c r="J38" s="3" t="s">
        <v>103</v>
      </c>
      <c r="K38" s="3" t="s">
        <v>385</v>
      </c>
      <c r="L38" s="3" t="s">
        <v>298</v>
      </c>
      <c r="M38" s="3" t="s">
        <v>299</v>
      </c>
      <c r="N38" s="3" t="s">
        <v>300</v>
      </c>
      <c r="O38" s="4" t="s">
        <v>301</v>
      </c>
      <c r="P38" s="3"/>
    </row>
    <row r="39" customFormat="false" ht="57.45" hidden="false" customHeight="false" outlineLevel="0" collapsed="false">
      <c r="A39" s="3" t="s">
        <v>499</v>
      </c>
      <c r="B39" s="3" t="s">
        <v>9</v>
      </c>
      <c r="C39" s="3" t="s">
        <v>74</v>
      </c>
      <c r="D39" s="3" t="s">
        <v>500</v>
      </c>
      <c r="E39" s="3" t="s">
        <v>501</v>
      </c>
      <c r="F39" s="3" t="s">
        <v>292</v>
      </c>
      <c r="G39" s="3" t="s">
        <v>293</v>
      </c>
      <c r="H39" s="3" t="s">
        <v>294</v>
      </c>
      <c r="I39" s="3" t="s">
        <v>502</v>
      </c>
      <c r="J39" s="3" t="s">
        <v>432</v>
      </c>
      <c r="K39" s="3" t="s">
        <v>494</v>
      </c>
      <c r="L39" s="3" t="s">
        <v>298</v>
      </c>
      <c r="M39" s="3" t="s">
        <v>299</v>
      </c>
      <c r="N39" s="3" t="s">
        <v>300</v>
      </c>
      <c r="O39" s="4" t="s">
        <v>301</v>
      </c>
      <c r="P39" s="3"/>
    </row>
    <row r="40" customFormat="false" ht="124.6" hidden="false" customHeight="false" outlineLevel="0" collapsed="false">
      <c r="A40" s="3" t="s">
        <v>503</v>
      </c>
      <c r="B40" s="3" t="s">
        <v>9</v>
      </c>
      <c r="C40" s="3" t="s">
        <v>74</v>
      </c>
      <c r="D40" s="3" t="s">
        <v>504</v>
      </c>
      <c r="E40" s="3" t="s">
        <v>505</v>
      </c>
      <c r="F40" s="3" t="s">
        <v>381</v>
      </c>
      <c r="G40" s="3" t="s">
        <v>293</v>
      </c>
      <c r="H40" s="3" t="s">
        <v>294</v>
      </c>
      <c r="I40" s="3" t="s">
        <v>506</v>
      </c>
      <c r="J40" s="3" t="s">
        <v>507</v>
      </c>
      <c r="K40" s="3" t="s">
        <v>508</v>
      </c>
      <c r="L40" s="3" t="s">
        <v>298</v>
      </c>
      <c r="M40" s="3" t="s">
        <v>299</v>
      </c>
      <c r="N40" s="3" t="s">
        <v>300</v>
      </c>
      <c r="O40" s="4" t="s">
        <v>301</v>
      </c>
      <c r="P40" s="3"/>
    </row>
    <row r="41" customFormat="false" ht="68.65" hidden="false" customHeight="false" outlineLevel="0" collapsed="false">
      <c r="A41" s="3" t="s">
        <v>509</v>
      </c>
      <c r="B41" s="3" t="s">
        <v>87</v>
      </c>
      <c r="C41" s="3" t="s">
        <v>88</v>
      </c>
      <c r="D41" s="3" t="s">
        <v>510</v>
      </c>
      <c r="E41" s="3" t="s">
        <v>511</v>
      </c>
      <c r="F41" s="3" t="s">
        <v>292</v>
      </c>
      <c r="G41" s="3" t="s">
        <v>293</v>
      </c>
      <c r="H41" s="3" t="s">
        <v>294</v>
      </c>
      <c r="I41" s="3" t="s">
        <v>512</v>
      </c>
      <c r="J41" s="3" t="s">
        <v>513</v>
      </c>
      <c r="K41" s="3" t="s">
        <v>514</v>
      </c>
      <c r="L41" s="3" t="s">
        <v>298</v>
      </c>
      <c r="M41" s="3" t="s">
        <v>299</v>
      </c>
      <c r="N41" s="3" t="s">
        <v>300</v>
      </c>
      <c r="O41" s="4" t="s">
        <v>301</v>
      </c>
      <c r="P41" s="3"/>
    </row>
    <row r="42" customFormat="false" ht="57.45" hidden="false" customHeight="false" outlineLevel="0" collapsed="false">
      <c r="A42" s="3" t="s">
        <v>515</v>
      </c>
      <c r="B42" s="3" t="s">
        <v>87</v>
      </c>
      <c r="C42" s="3" t="s">
        <v>88</v>
      </c>
      <c r="D42" s="3" t="s">
        <v>516</v>
      </c>
      <c r="E42" s="3" t="s">
        <v>517</v>
      </c>
      <c r="F42" s="3" t="s">
        <v>292</v>
      </c>
      <c r="G42" s="3" t="s">
        <v>293</v>
      </c>
      <c r="H42" s="3" t="s">
        <v>294</v>
      </c>
      <c r="I42" s="3" t="s">
        <v>518</v>
      </c>
      <c r="J42" s="3" t="s">
        <v>519</v>
      </c>
      <c r="K42" s="3" t="s">
        <v>333</v>
      </c>
      <c r="L42" s="3" t="s">
        <v>298</v>
      </c>
      <c r="M42" s="3" t="s">
        <v>299</v>
      </c>
      <c r="N42" s="3" t="s">
        <v>300</v>
      </c>
      <c r="O42" s="4" t="s">
        <v>301</v>
      </c>
      <c r="P42" s="3"/>
    </row>
    <row r="43" customFormat="false" ht="124.6" hidden="false" customHeight="false" outlineLevel="0" collapsed="false">
      <c r="A43" s="3" t="s">
        <v>520</v>
      </c>
      <c r="B43" s="3" t="s">
        <v>87</v>
      </c>
      <c r="C43" s="3" t="s">
        <v>88</v>
      </c>
      <c r="D43" s="3" t="s">
        <v>521</v>
      </c>
      <c r="E43" s="3" t="s">
        <v>522</v>
      </c>
      <c r="F43" s="3" t="s">
        <v>292</v>
      </c>
      <c r="G43" s="3" t="s">
        <v>293</v>
      </c>
      <c r="H43" s="3" t="s">
        <v>294</v>
      </c>
      <c r="I43" s="3" t="s">
        <v>523</v>
      </c>
      <c r="J43" s="3" t="s">
        <v>524</v>
      </c>
      <c r="K43" s="3" t="s">
        <v>333</v>
      </c>
      <c r="L43" s="3" t="s">
        <v>298</v>
      </c>
      <c r="M43" s="3" t="s">
        <v>299</v>
      </c>
      <c r="N43" s="3" t="s">
        <v>300</v>
      </c>
      <c r="O43" s="4" t="s">
        <v>301</v>
      </c>
      <c r="P43" s="3"/>
    </row>
    <row r="44" customFormat="false" ht="79.85" hidden="false" customHeight="false" outlineLevel="0" collapsed="false">
      <c r="A44" s="3" t="s">
        <v>525</v>
      </c>
      <c r="B44" s="3" t="s">
        <v>87</v>
      </c>
      <c r="C44" s="3" t="s">
        <v>88</v>
      </c>
      <c r="D44" s="3" t="s">
        <v>526</v>
      </c>
      <c r="E44" s="3" t="s">
        <v>527</v>
      </c>
      <c r="F44" s="3" t="s">
        <v>292</v>
      </c>
      <c r="G44" s="3" t="s">
        <v>293</v>
      </c>
      <c r="H44" s="3" t="s">
        <v>294</v>
      </c>
      <c r="I44" s="3" t="s">
        <v>528</v>
      </c>
      <c r="J44" s="3" t="s">
        <v>529</v>
      </c>
      <c r="K44" s="3" t="s">
        <v>327</v>
      </c>
      <c r="L44" s="3" t="s">
        <v>298</v>
      </c>
      <c r="M44" s="3" t="s">
        <v>299</v>
      </c>
      <c r="N44" s="3" t="s">
        <v>300</v>
      </c>
      <c r="O44" s="4" t="s">
        <v>301</v>
      </c>
      <c r="P44" s="3"/>
    </row>
    <row r="45" customFormat="false" ht="57.45" hidden="false" customHeight="false" outlineLevel="0" collapsed="false">
      <c r="A45" s="3" t="s">
        <v>530</v>
      </c>
      <c r="B45" s="3" t="s">
        <v>87</v>
      </c>
      <c r="C45" s="3" t="s">
        <v>88</v>
      </c>
      <c r="D45" s="3" t="s">
        <v>531</v>
      </c>
      <c r="E45" s="3" t="s">
        <v>532</v>
      </c>
      <c r="F45" s="3" t="s">
        <v>292</v>
      </c>
      <c r="G45" s="3" t="s">
        <v>293</v>
      </c>
      <c r="H45" s="3" t="s">
        <v>294</v>
      </c>
      <c r="I45" s="3" t="s">
        <v>533</v>
      </c>
      <c r="J45" s="3" t="s">
        <v>534</v>
      </c>
      <c r="K45" s="3" t="s">
        <v>535</v>
      </c>
      <c r="L45" s="3" t="s">
        <v>298</v>
      </c>
      <c r="M45" s="3" t="s">
        <v>299</v>
      </c>
      <c r="N45" s="3" t="s">
        <v>300</v>
      </c>
      <c r="O45" s="4" t="s">
        <v>301</v>
      </c>
      <c r="P45" s="3"/>
    </row>
    <row r="46" customFormat="false" ht="124.6" hidden="false" customHeight="false" outlineLevel="0" collapsed="false">
      <c r="A46" s="3" t="s">
        <v>536</v>
      </c>
      <c r="B46" s="3" t="s">
        <v>87</v>
      </c>
      <c r="C46" s="3" t="s">
        <v>88</v>
      </c>
      <c r="D46" s="3" t="s">
        <v>537</v>
      </c>
      <c r="E46" s="3" t="s">
        <v>538</v>
      </c>
      <c r="F46" s="3" t="s">
        <v>317</v>
      </c>
      <c r="G46" s="3" t="s">
        <v>293</v>
      </c>
      <c r="H46" s="3" t="s">
        <v>294</v>
      </c>
      <c r="I46" s="3" t="s">
        <v>539</v>
      </c>
      <c r="J46" s="3" t="s">
        <v>519</v>
      </c>
      <c r="K46" s="3" t="s">
        <v>540</v>
      </c>
      <c r="L46" s="3" t="s">
        <v>298</v>
      </c>
      <c r="M46" s="3" t="s">
        <v>299</v>
      </c>
      <c r="N46" s="3" t="s">
        <v>300</v>
      </c>
      <c r="O46" s="4" t="s">
        <v>301</v>
      </c>
      <c r="P46" s="3"/>
    </row>
    <row r="47" customFormat="false" ht="57.45" hidden="false" customHeight="false" outlineLevel="0" collapsed="false">
      <c r="A47" s="3" t="s">
        <v>541</v>
      </c>
      <c r="B47" s="3" t="s">
        <v>87</v>
      </c>
      <c r="C47" s="3" t="s">
        <v>88</v>
      </c>
      <c r="D47" s="3" t="s">
        <v>542</v>
      </c>
      <c r="E47" s="3" t="s">
        <v>543</v>
      </c>
      <c r="F47" s="3" t="s">
        <v>317</v>
      </c>
      <c r="G47" s="3" t="s">
        <v>293</v>
      </c>
      <c r="H47" s="3" t="s">
        <v>294</v>
      </c>
      <c r="I47" s="3" t="s">
        <v>544</v>
      </c>
      <c r="J47" s="3" t="s">
        <v>545</v>
      </c>
      <c r="K47" s="3" t="s">
        <v>494</v>
      </c>
      <c r="L47" s="3" t="s">
        <v>298</v>
      </c>
      <c r="M47" s="3" t="s">
        <v>299</v>
      </c>
      <c r="N47" s="3" t="s">
        <v>300</v>
      </c>
      <c r="O47" s="4" t="s">
        <v>301</v>
      </c>
      <c r="P47" s="3"/>
    </row>
    <row r="48" customFormat="false" ht="57.45" hidden="false" customHeight="false" outlineLevel="0" collapsed="false">
      <c r="A48" s="3" t="s">
        <v>546</v>
      </c>
      <c r="B48" s="3" t="s">
        <v>87</v>
      </c>
      <c r="C48" s="3" t="s">
        <v>88</v>
      </c>
      <c r="D48" s="3" t="s">
        <v>547</v>
      </c>
      <c r="E48" s="3" t="s">
        <v>548</v>
      </c>
      <c r="F48" s="3" t="s">
        <v>317</v>
      </c>
      <c r="G48" s="3" t="s">
        <v>293</v>
      </c>
      <c r="H48" s="3" t="s">
        <v>382</v>
      </c>
      <c r="I48" s="3" t="s">
        <v>549</v>
      </c>
      <c r="J48" s="3" t="s">
        <v>519</v>
      </c>
      <c r="K48" s="3" t="s">
        <v>385</v>
      </c>
      <c r="L48" s="3" t="s">
        <v>298</v>
      </c>
      <c r="M48" s="3" t="s">
        <v>299</v>
      </c>
      <c r="N48" s="3" t="s">
        <v>300</v>
      </c>
      <c r="O48" s="4" t="s">
        <v>301</v>
      </c>
      <c r="P48" s="3"/>
    </row>
    <row r="49" customFormat="false" ht="57.45" hidden="false" customHeight="false" outlineLevel="0" collapsed="false">
      <c r="A49" s="3" t="s">
        <v>550</v>
      </c>
      <c r="B49" s="3" t="s">
        <v>87</v>
      </c>
      <c r="C49" s="3" t="s">
        <v>88</v>
      </c>
      <c r="D49" s="3" t="s">
        <v>551</v>
      </c>
      <c r="E49" s="3" t="s">
        <v>552</v>
      </c>
      <c r="F49" s="3" t="s">
        <v>381</v>
      </c>
      <c r="G49" s="3" t="s">
        <v>293</v>
      </c>
      <c r="H49" s="3" t="s">
        <v>382</v>
      </c>
      <c r="I49" s="3" t="s">
        <v>549</v>
      </c>
      <c r="J49" s="3" t="s">
        <v>519</v>
      </c>
      <c r="K49" s="3" t="s">
        <v>385</v>
      </c>
      <c r="L49" s="3" t="s">
        <v>298</v>
      </c>
      <c r="M49" s="3" t="s">
        <v>299</v>
      </c>
      <c r="N49" s="3" t="s">
        <v>300</v>
      </c>
      <c r="O49" s="4" t="s">
        <v>301</v>
      </c>
      <c r="P49" s="3"/>
    </row>
    <row r="50" customFormat="false" ht="68.65" hidden="false" customHeight="false" outlineLevel="0" collapsed="false">
      <c r="A50" s="3" t="s">
        <v>553</v>
      </c>
      <c r="B50" s="3" t="s">
        <v>87</v>
      </c>
      <c r="C50" s="3" t="s">
        <v>88</v>
      </c>
      <c r="D50" s="3" t="s">
        <v>554</v>
      </c>
      <c r="E50" s="3" t="s">
        <v>555</v>
      </c>
      <c r="F50" s="3" t="s">
        <v>381</v>
      </c>
      <c r="G50" s="3" t="s">
        <v>293</v>
      </c>
      <c r="H50" s="3" t="s">
        <v>294</v>
      </c>
      <c r="I50" s="3" t="s">
        <v>556</v>
      </c>
      <c r="J50" s="3" t="s">
        <v>557</v>
      </c>
      <c r="K50" s="3" t="s">
        <v>558</v>
      </c>
      <c r="L50" s="3" t="s">
        <v>298</v>
      </c>
      <c r="M50" s="3" t="s">
        <v>299</v>
      </c>
      <c r="N50" s="3" t="s">
        <v>300</v>
      </c>
      <c r="O50" s="4" t="s">
        <v>301</v>
      </c>
      <c r="P50" s="3"/>
    </row>
    <row r="51" customFormat="false" ht="57.45" hidden="false" customHeight="false" outlineLevel="0" collapsed="false">
      <c r="A51" s="3" t="s">
        <v>559</v>
      </c>
      <c r="B51" s="3" t="s">
        <v>87</v>
      </c>
      <c r="C51" s="3" t="s">
        <v>88</v>
      </c>
      <c r="D51" s="3" t="s">
        <v>560</v>
      </c>
      <c r="E51" s="3" t="s">
        <v>561</v>
      </c>
      <c r="F51" s="3" t="s">
        <v>292</v>
      </c>
      <c r="G51" s="3" t="s">
        <v>293</v>
      </c>
      <c r="H51" s="3" t="s">
        <v>294</v>
      </c>
      <c r="I51" s="3" t="s">
        <v>518</v>
      </c>
      <c r="J51" s="3" t="s">
        <v>519</v>
      </c>
      <c r="K51" s="3" t="s">
        <v>562</v>
      </c>
      <c r="L51" s="3" t="s">
        <v>298</v>
      </c>
      <c r="M51" s="3" t="s">
        <v>299</v>
      </c>
      <c r="N51" s="3" t="s">
        <v>300</v>
      </c>
      <c r="O51" s="4" t="s">
        <v>301</v>
      </c>
      <c r="P51" s="3"/>
    </row>
    <row r="52" customFormat="false" ht="79.85" hidden="false" customHeight="false" outlineLevel="0" collapsed="false">
      <c r="A52" s="3" t="s">
        <v>563</v>
      </c>
      <c r="B52" s="3" t="s">
        <v>87</v>
      </c>
      <c r="C52" s="3" t="s">
        <v>112</v>
      </c>
      <c r="D52" s="3" t="s">
        <v>564</v>
      </c>
      <c r="E52" s="3" t="s">
        <v>565</v>
      </c>
      <c r="F52" s="3" t="s">
        <v>292</v>
      </c>
      <c r="G52" s="3" t="s">
        <v>293</v>
      </c>
      <c r="H52" s="3" t="s">
        <v>294</v>
      </c>
      <c r="I52" s="3" t="s">
        <v>566</v>
      </c>
      <c r="J52" s="3" t="s">
        <v>513</v>
      </c>
      <c r="K52" s="3" t="s">
        <v>567</v>
      </c>
      <c r="L52" s="3" t="s">
        <v>298</v>
      </c>
      <c r="M52" s="3" t="s">
        <v>299</v>
      </c>
      <c r="N52" s="3" t="s">
        <v>300</v>
      </c>
      <c r="O52" s="4" t="s">
        <v>301</v>
      </c>
      <c r="P52" s="3"/>
    </row>
    <row r="53" customFormat="false" ht="102.2" hidden="false" customHeight="false" outlineLevel="0" collapsed="false">
      <c r="A53" s="3" t="s">
        <v>568</v>
      </c>
      <c r="B53" s="3" t="s">
        <v>87</v>
      </c>
      <c r="C53" s="3" t="s">
        <v>112</v>
      </c>
      <c r="D53" s="3" t="s">
        <v>569</v>
      </c>
      <c r="E53" s="3" t="s">
        <v>570</v>
      </c>
      <c r="F53" s="3" t="s">
        <v>292</v>
      </c>
      <c r="G53" s="3" t="s">
        <v>293</v>
      </c>
      <c r="H53" s="3" t="s">
        <v>294</v>
      </c>
      <c r="I53" s="3" t="s">
        <v>571</v>
      </c>
      <c r="J53" s="3" t="s">
        <v>572</v>
      </c>
      <c r="K53" s="3" t="s">
        <v>573</v>
      </c>
      <c r="L53" s="3" t="s">
        <v>298</v>
      </c>
      <c r="M53" s="3" t="s">
        <v>299</v>
      </c>
      <c r="N53" s="3" t="s">
        <v>300</v>
      </c>
      <c r="O53" s="4" t="s">
        <v>301</v>
      </c>
      <c r="P53" s="3"/>
    </row>
    <row r="54" customFormat="false" ht="102.2" hidden="false" customHeight="false" outlineLevel="0" collapsed="false">
      <c r="A54" s="3" t="s">
        <v>574</v>
      </c>
      <c r="B54" s="3" t="s">
        <v>87</v>
      </c>
      <c r="C54" s="3" t="s">
        <v>112</v>
      </c>
      <c r="D54" s="3" t="s">
        <v>575</v>
      </c>
      <c r="E54" s="3" t="s">
        <v>576</v>
      </c>
      <c r="F54" s="3" t="s">
        <v>381</v>
      </c>
      <c r="G54" s="3" t="s">
        <v>293</v>
      </c>
      <c r="H54" s="3" t="s">
        <v>294</v>
      </c>
      <c r="I54" s="3" t="s">
        <v>577</v>
      </c>
      <c r="J54" s="3" t="s">
        <v>507</v>
      </c>
      <c r="K54" s="3" t="s">
        <v>508</v>
      </c>
      <c r="L54" s="3" t="s">
        <v>298</v>
      </c>
      <c r="M54" s="3" t="s">
        <v>299</v>
      </c>
      <c r="N54" s="3" t="s">
        <v>300</v>
      </c>
      <c r="O54" s="4" t="s">
        <v>301</v>
      </c>
      <c r="P54" s="3"/>
    </row>
    <row r="55" customFormat="false" ht="57.45" hidden="false" customHeight="false" outlineLevel="0" collapsed="false">
      <c r="A55" s="3" t="s">
        <v>578</v>
      </c>
      <c r="B55" s="3" t="s">
        <v>87</v>
      </c>
      <c r="C55" s="3" t="s">
        <v>112</v>
      </c>
      <c r="D55" s="3" t="s">
        <v>579</v>
      </c>
      <c r="E55" s="3" t="s">
        <v>580</v>
      </c>
      <c r="F55" s="3" t="s">
        <v>381</v>
      </c>
      <c r="G55" s="3" t="s">
        <v>293</v>
      </c>
      <c r="H55" s="3" t="s">
        <v>382</v>
      </c>
      <c r="I55" s="3" t="s">
        <v>581</v>
      </c>
      <c r="J55" s="3" t="s">
        <v>103</v>
      </c>
      <c r="K55" s="3" t="s">
        <v>385</v>
      </c>
      <c r="L55" s="3" t="s">
        <v>298</v>
      </c>
      <c r="M55" s="3" t="s">
        <v>299</v>
      </c>
      <c r="N55" s="3" t="s">
        <v>300</v>
      </c>
      <c r="O55" s="4" t="s">
        <v>301</v>
      </c>
      <c r="P55" s="3"/>
    </row>
    <row r="56" customFormat="false" ht="57.45" hidden="false" customHeight="false" outlineLevel="0" collapsed="false">
      <c r="A56" s="3" t="s">
        <v>582</v>
      </c>
      <c r="B56" s="3" t="s">
        <v>87</v>
      </c>
      <c r="C56" s="3" t="s">
        <v>112</v>
      </c>
      <c r="D56" s="3" t="s">
        <v>583</v>
      </c>
      <c r="E56" s="3" t="s">
        <v>584</v>
      </c>
      <c r="F56" s="3" t="s">
        <v>317</v>
      </c>
      <c r="G56" s="3" t="s">
        <v>293</v>
      </c>
      <c r="H56" s="3" t="s">
        <v>294</v>
      </c>
      <c r="I56" s="3" t="s">
        <v>585</v>
      </c>
      <c r="J56" s="3" t="s">
        <v>432</v>
      </c>
      <c r="K56" s="3" t="s">
        <v>494</v>
      </c>
      <c r="L56" s="3" t="s">
        <v>298</v>
      </c>
      <c r="M56" s="3" t="s">
        <v>299</v>
      </c>
      <c r="N56" s="3" t="s">
        <v>300</v>
      </c>
      <c r="O56" s="4" t="s">
        <v>301</v>
      </c>
      <c r="P56" s="3"/>
    </row>
    <row r="57" customFormat="false" ht="79.85" hidden="false" customHeight="false" outlineLevel="0" collapsed="false">
      <c r="A57" s="3" t="s">
        <v>586</v>
      </c>
      <c r="B57" s="3" t="s">
        <v>87</v>
      </c>
      <c r="C57" s="3" t="s">
        <v>123</v>
      </c>
      <c r="D57" s="3" t="s">
        <v>587</v>
      </c>
      <c r="E57" s="3" t="s">
        <v>588</v>
      </c>
      <c r="F57" s="3" t="s">
        <v>292</v>
      </c>
      <c r="G57" s="3" t="s">
        <v>589</v>
      </c>
      <c r="H57" s="3" t="s">
        <v>294</v>
      </c>
      <c r="I57" s="3" t="s">
        <v>590</v>
      </c>
      <c r="J57" s="3" t="s">
        <v>591</v>
      </c>
      <c r="K57" s="3" t="s">
        <v>592</v>
      </c>
      <c r="L57" s="3" t="s">
        <v>298</v>
      </c>
      <c r="M57" s="3" t="s">
        <v>299</v>
      </c>
      <c r="N57" s="3" t="s">
        <v>300</v>
      </c>
      <c r="O57" s="4" t="s">
        <v>301</v>
      </c>
      <c r="P57" s="3"/>
    </row>
    <row r="58" customFormat="false" ht="79.85" hidden="false" customHeight="false" outlineLevel="0" collapsed="false">
      <c r="A58" s="3" t="s">
        <v>593</v>
      </c>
      <c r="B58" s="3" t="s">
        <v>87</v>
      </c>
      <c r="C58" s="3" t="s">
        <v>123</v>
      </c>
      <c r="D58" s="3" t="s">
        <v>594</v>
      </c>
      <c r="E58" s="3" t="s">
        <v>595</v>
      </c>
      <c r="F58" s="3" t="s">
        <v>292</v>
      </c>
      <c r="G58" s="3" t="s">
        <v>589</v>
      </c>
      <c r="H58" s="3" t="s">
        <v>294</v>
      </c>
      <c r="I58" s="3" t="s">
        <v>596</v>
      </c>
      <c r="J58" s="3" t="s">
        <v>597</v>
      </c>
      <c r="K58" s="3" t="s">
        <v>598</v>
      </c>
      <c r="L58" s="3" t="s">
        <v>298</v>
      </c>
      <c r="M58" s="3" t="s">
        <v>299</v>
      </c>
      <c r="N58" s="3" t="s">
        <v>300</v>
      </c>
      <c r="O58" s="4" t="s">
        <v>301</v>
      </c>
      <c r="P58" s="3"/>
    </row>
    <row r="59" customFormat="false" ht="102.2" hidden="false" customHeight="false" outlineLevel="0" collapsed="false">
      <c r="A59" s="3" t="s">
        <v>599</v>
      </c>
      <c r="B59" s="3" t="s">
        <v>87</v>
      </c>
      <c r="C59" s="3" t="s">
        <v>123</v>
      </c>
      <c r="D59" s="3" t="s">
        <v>600</v>
      </c>
      <c r="E59" s="3" t="s">
        <v>601</v>
      </c>
      <c r="F59" s="3" t="s">
        <v>292</v>
      </c>
      <c r="G59" s="3" t="s">
        <v>589</v>
      </c>
      <c r="H59" s="3" t="s">
        <v>294</v>
      </c>
      <c r="I59" s="3" t="s">
        <v>602</v>
      </c>
      <c r="J59" s="3" t="s">
        <v>603</v>
      </c>
      <c r="K59" s="3" t="s">
        <v>604</v>
      </c>
      <c r="L59" s="3" t="s">
        <v>298</v>
      </c>
      <c r="M59" s="3" t="s">
        <v>299</v>
      </c>
      <c r="N59" s="3" t="s">
        <v>300</v>
      </c>
      <c r="O59" s="4" t="s">
        <v>301</v>
      </c>
      <c r="P59" s="3"/>
    </row>
    <row r="60" customFormat="false" ht="102.2" hidden="false" customHeight="false" outlineLevel="0" collapsed="false">
      <c r="A60" s="3" t="s">
        <v>605</v>
      </c>
      <c r="B60" s="3" t="s">
        <v>87</v>
      </c>
      <c r="C60" s="3" t="s">
        <v>123</v>
      </c>
      <c r="D60" s="3" t="s">
        <v>606</v>
      </c>
      <c r="E60" s="3" t="s">
        <v>607</v>
      </c>
      <c r="F60" s="3" t="s">
        <v>317</v>
      </c>
      <c r="G60" s="3" t="s">
        <v>589</v>
      </c>
      <c r="H60" s="3" t="s">
        <v>294</v>
      </c>
      <c r="I60" s="3" t="s">
        <v>608</v>
      </c>
      <c r="J60" s="3" t="s">
        <v>591</v>
      </c>
      <c r="K60" s="3" t="s">
        <v>609</v>
      </c>
      <c r="L60" s="3" t="s">
        <v>298</v>
      </c>
      <c r="M60" s="3" t="s">
        <v>299</v>
      </c>
      <c r="N60" s="3" t="s">
        <v>300</v>
      </c>
      <c r="O60" s="4" t="s">
        <v>301</v>
      </c>
      <c r="P60" s="3"/>
    </row>
    <row r="61" customFormat="false" ht="102.2" hidden="false" customHeight="false" outlineLevel="0" collapsed="false">
      <c r="A61" s="3" t="s">
        <v>610</v>
      </c>
      <c r="B61" s="3" t="s">
        <v>87</v>
      </c>
      <c r="C61" s="3" t="s">
        <v>123</v>
      </c>
      <c r="D61" s="3" t="s">
        <v>611</v>
      </c>
      <c r="E61" s="3" t="s">
        <v>612</v>
      </c>
      <c r="F61" s="3" t="s">
        <v>317</v>
      </c>
      <c r="G61" s="3" t="s">
        <v>589</v>
      </c>
      <c r="H61" s="3" t="s">
        <v>294</v>
      </c>
      <c r="I61" s="3" t="s">
        <v>613</v>
      </c>
      <c r="J61" s="3" t="s">
        <v>603</v>
      </c>
      <c r="K61" s="3" t="s">
        <v>614</v>
      </c>
      <c r="L61" s="3" t="s">
        <v>298</v>
      </c>
      <c r="M61" s="3" t="s">
        <v>299</v>
      </c>
      <c r="N61" s="3" t="s">
        <v>300</v>
      </c>
      <c r="O61" s="4" t="s">
        <v>301</v>
      </c>
      <c r="P61" s="3"/>
    </row>
    <row r="62" customFormat="false" ht="79.85" hidden="false" customHeight="false" outlineLevel="0" collapsed="false">
      <c r="A62" s="3" t="s">
        <v>615</v>
      </c>
      <c r="B62" s="3" t="s">
        <v>87</v>
      </c>
      <c r="C62" s="3" t="s">
        <v>123</v>
      </c>
      <c r="D62" s="3" t="s">
        <v>616</v>
      </c>
      <c r="E62" s="3" t="s">
        <v>617</v>
      </c>
      <c r="F62" s="3" t="s">
        <v>317</v>
      </c>
      <c r="G62" s="3" t="s">
        <v>589</v>
      </c>
      <c r="H62" s="3" t="s">
        <v>294</v>
      </c>
      <c r="I62" s="3" t="s">
        <v>618</v>
      </c>
      <c r="J62" s="3" t="s">
        <v>619</v>
      </c>
      <c r="K62" s="3" t="s">
        <v>320</v>
      </c>
      <c r="L62" s="3" t="s">
        <v>298</v>
      </c>
      <c r="M62" s="3" t="s">
        <v>299</v>
      </c>
      <c r="N62" s="3" t="s">
        <v>300</v>
      </c>
      <c r="O62" s="4" t="s">
        <v>301</v>
      </c>
      <c r="P62" s="3"/>
    </row>
    <row r="63" customFormat="false" ht="68.65" hidden="false" customHeight="false" outlineLevel="0" collapsed="false">
      <c r="A63" s="3" t="s">
        <v>620</v>
      </c>
      <c r="B63" s="3" t="s">
        <v>87</v>
      </c>
      <c r="C63" s="3" t="s">
        <v>123</v>
      </c>
      <c r="D63" s="3" t="s">
        <v>621</v>
      </c>
      <c r="E63" s="3" t="s">
        <v>622</v>
      </c>
      <c r="F63" s="3" t="s">
        <v>317</v>
      </c>
      <c r="G63" s="3" t="s">
        <v>589</v>
      </c>
      <c r="H63" s="3" t="s">
        <v>294</v>
      </c>
      <c r="I63" s="3" t="s">
        <v>623</v>
      </c>
      <c r="J63" s="3" t="s">
        <v>624</v>
      </c>
      <c r="K63" s="3" t="s">
        <v>320</v>
      </c>
      <c r="L63" s="3" t="s">
        <v>298</v>
      </c>
      <c r="M63" s="3" t="s">
        <v>299</v>
      </c>
      <c r="N63" s="3" t="s">
        <v>300</v>
      </c>
      <c r="O63" s="4" t="s">
        <v>301</v>
      </c>
      <c r="P63" s="3"/>
    </row>
    <row r="64" customFormat="false" ht="57.45" hidden="false" customHeight="false" outlineLevel="0" collapsed="false">
      <c r="A64" s="3" t="s">
        <v>625</v>
      </c>
      <c r="B64" s="3" t="s">
        <v>87</v>
      </c>
      <c r="C64" s="3" t="s">
        <v>123</v>
      </c>
      <c r="D64" s="3" t="s">
        <v>626</v>
      </c>
      <c r="E64" s="3" t="s">
        <v>627</v>
      </c>
      <c r="F64" s="3" t="s">
        <v>381</v>
      </c>
      <c r="G64" s="3" t="s">
        <v>589</v>
      </c>
      <c r="H64" s="3" t="s">
        <v>382</v>
      </c>
      <c r="I64" s="3" t="s">
        <v>628</v>
      </c>
      <c r="J64" s="3" t="s">
        <v>591</v>
      </c>
      <c r="K64" s="3" t="s">
        <v>385</v>
      </c>
      <c r="L64" s="3" t="s">
        <v>298</v>
      </c>
      <c r="M64" s="3" t="s">
        <v>299</v>
      </c>
      <c r="N64" s="3" t="s">
        <v>300</v>
      </c>
      <c r="O64" s="4" t="s">
        <v>301</v>
      </c>
      <c r="P64" s="3"/>
    </row>
    <row r="65" customFormat="false" ht="57.45" hidden="false" customHeight="false" outlineLevel="0" collapsed="false">
      <c r="A65" s="3" t="s">
        <v>629</v>
      </c>
      <c r="B65" s="3" t="s">
        <v>87</v>
      </c>
      <c r="C65" s="3" t="s">
        <v>123</v>
      </c>
      <c r="D65" s="3" t="s">
        <v>630</v>
      </c>
      <c r="E65" s="3" t="s">
        <v>631</v>
      </c>
      <c r="F65" s="3" t="s">
        <v>317</v>
      </c>
      <c r="G65" s="3" t="s">
        <v>589</v>
      </c>
      <c r="H65" s="3" t="s">
        <v>294</v>
      </c>
      <c r="I65" s="3" t="s">
        <v>632</v>
      </c>
      <c r="J65" s="3" t="s">
        <v>591</v>
      </c>
      <c r="K65" s="3" t="s">
        <v>508</v>
      </c>
      <c r="L65" s="3" t="s">
        <v>298</v>
      </c>
      <c r="M65" s="3" t="s">
        <v>299</v>
      </c>
      <c r="N65" s="3" t="s">
        <v>300</v>
      </c>
      <c r="O65" s="4" t="s">
        <v>301</v>
      </c>
      <c r="P65" s="3"/>
    </row>
    <row r="66" customFormat="false" ht="91" hidden="false" customHeight="false" outlineLevel="0" collapsed="false">
      <c r="A66" s="3" t="s">
        <v>633</v>
      </c>
      <c r="B66" s="3" t="s">
        <v>87</v>
      </c>
      <c r="C66" s="3" t="s">
        <v>148</v>
      </c>
      <c r="D66" s="3" t="s">
        <v>634</v>
      </c>
      <c r="E66" s="3" t="s">
        <v>635</v>
      </c>
      <c r="F66" s="3" t="s">
        <v>292</v>
      </c>
      <c r="G66" s="3" t="s">
        <v>589</v>
      </c>
      <c r="H66" s="3" t="s">
        <v>294</v>
      </c>
      <c r="I66" s="3" t="s">
        <v>636</v>
      </c>
      <c r="J66" s="3" t="s">
        <v>591</v>
      </c>
      <c r="K66" s="3" t="s">
        <v>637</v>
      </c>
      <c r="L66" s="3" t="s">
        <v>298</v>
      </c>
      <c r="M66" s="3" t="s">
        <v>299</v>
      </c>
      <c r="N66" s="3" t="s">
        <v>300</v>
      </c>
      <c r="O66" s="4" t="s">
        <v>301</v>
      </c>
      <c r="P66" s="3"/>
    </row>
    <row r="67" customFormat="false" ht="68.65" hidden="false" customHeight="false" outlineLevel="0" collapsed="false">
      <c r="A67" s="3" t="s">
        <v>638</v>
      </c>
      <c r="B67" s="3" t="s">
        <v>87</v>
      </c>
      <c r="C67" s="3" t="s">
        <v>148</v>
      </c>
      <c r="D67" s="3" t="s">
        <v>639</v>
      </c>
      <c r="E67" s="3" t="s">
        <v>640</v>
      </c>
      <c r="F67" s="3" t="s">
        <v>317</v>
      </c>
      <c r="G67" s="3" t="s">
        <v>589</v>
      </c>
      <c r="H67" s="3" t="s">
        <v>294</v>
      </c>
      <c r="I67" s="3" t="s">
        <v>641</v>
      </c>
      <c r="J67" s="3" t="s">
        <v>642</v>
      </c>
      <c r="K67" s="3" t="s">
        <v>643</v>
      </c>
      <c r="L67" s="3" t="s">
        <v>298</v>
      </c>
      <c r="M67" s="3" t="s">
        <v>299</v>
      </c>
      <c r="N67" s="3" t="s">
        <v>300</v>
      </c>
      <c r="O67" s="4" t="s">
        <v>301</v>
      </c>
      <c r="P67" s="3"/>
    </row>
    <row r="68" customFormat="false" ht="91" hidden="false" customHeight="false" outlineLevel="0" collapsed="false">
      <c r="A68" s="3" t="s">
        <v>644</v>
      </c>
      <c r="B68" s="3" t="s">
        <v>87</v>
      </c>
      <c r="C68" s="3" t="s">
        <v>148</v>
      </c>
      <c r="D68" s="3" t="s">
        <v>645</v>
      </c>
      <c r="E68" s="3" t="s">
        <v>646</v>
      </c>
      <c r="F68" s="3" t="s">
        <v>317</v>
      </c>
      <c r="G68" s="3" t="s">
        <v>589</v>
      </c>
      <c r="H68" s="3" t="s">
        <v>294</v>
      </c>
      <c r="I68" s="3" t="s">
        <v>647</v>
      </c>
      <c r="J68" s="3" t="s">
        <v>597</v>
      </c>
      <c r="K68" s="3" t="s">
        <v>648</v>
      </c>
      <c r="L68" s="3" t="s">
        <v>298</v>
      </c>
      <c r="M68" s="3" t="s">
        <v>299</v>
      </c>
      <c r="N68" s="3" t="s">
        <v>300</v>
      </c>
      <c r="O68" s="4" t="s">
        <v>301</v>
      </c>
      <c r="P68" s="3"/>
    </row>
    <row r="69" customFormat="false" ht="57.45" hidden="false" customHeight="false" outlineLevel="0" collapsed="false">
      <c r="A69" s="3" t="s">
        <v>649</v>
      </c>
      <c r="B69" s="3" t="s">
        <v>87</v>
      </c>
      <c r="C69" s="3" t="s">
        <v>148</v>
      </c>
      <c r="D69" s="3" t="s">
        <v>650</v>
      </c>
      <c r="E69" s="3" t="s">
        <v>651</v>
      </c>
      <c r="F69" s="3" t="s">
        <v>381</v>
      </c>
      <c r="G69" s="3" t="s">
        <v>589</v>
      </c>
      <c r="H69" s="3" t="s">
        <v>382</v>
      </c>
      <c r="I69" s="3" t="s">
        <v>652</v>
      </c>
      <c r="J69" s="3" t="s">
        <v>103</v>
      </c>
      <c r="K69" s="3" t="s">
        <v>385</v>
      </c>
      <c r="L69" s="3" t="s">
        <v>298</v>
      </c>
      <c r="M69" s="3" t="s">
        <v>299</v>
      </c>
      <c r="N69" s="3" t="s">
        <v>300</v>
      </c>
      <c r="O69" s="4" t="s">
        <v>301</v>
      </c>
      <c r="P69" s="3"/>
    </row>
    <row r="70" customFormat="false" ht="57.45" hidden="false" customHeight="false" outlineLevel="0" collapsed="false">
      <c r="A70" s="3" t="s">
        <v>653</v>
      </c>
      <c r="B70" s="3" t="s">
        <v>87</v>
      </c>
      <c r="C70" s="3" t="s">
        <v>148</v>
      </c>
      <c r="D70" s="3" t="s">
        <v>654</v>
      </c>
      <c r="E70" s="3" t="s">
        <v>655</v>
      </c>
      <c r="F70" s="3" t="s">
        <v>317</v>
      </c>
      <c r="G70" s="3" t="s">
        <v>589</v>
      </c>
      <c r="H70" s="3" t="s">
        <v>294</v>
      </c>
      <c r="I70" s="3" t="s">
        <v>656</v>
      </c>
      <c r="J70" s="3" t="s">
        <v>432</v>
      </c>
      <c r="K70" s="3" t="s">
        <v>508</v>
      </c>
      <c r="L70" s="3" t="s">
        <v>298</v>
      </c>
      <c r="M70" s="3" t="s">
        <v>299</v>
      </c>
      <c r="N70" s="3" t="s">
        <v>300</v>
      </c>
      <c r="O70" s="4" t="s">
        <v>301</v>
      </c>
      <c r="P70" s="3"/>
    </row>
    <row r="71" customFormat="false" ht="706.7" hidden="false" customHeight="false" outlineLevel="0" collapsed="false">
      <c r="A71" s="3" t="s">
        <v>657</v>
      </c>
      <c r="B71" s="3" t="s">
        <v>162</v>
      </c>
      <c r="C71" s="3" t="s">
        <v>163</v>
      </c>
      <c r="D71" s="3" t="s">
        <v>658</v>
      </c>
      <c r="E71" s="3" t="s">
        <v>659</v>
      </c>
      <c r="F71" s="3" t="s">
        <v>292</v>
      </c>
      <c r="G71" s="3" t="s">
        <v>426</v>
      </c>
      <c r="H71" s="3" t="s">
        <v>294</v>
      </c>
      <c r="I71" s="3" t="s">
        <v>660</v>
      </c>
      <c r="J71" s="3" t="s">
        <v>432</v>
      </c>
      <c r="K71" s="3" t="s">
        <v>661</v>
      </c>
      <c r="L71" s="3" t="s">
        <v>298</v>
      </c>
      <c r="M71" s="3" t="s">
        <v>299</v>
      </c>
      <c r="N71" s="3" t="s">
        <v>300</v>
      </c>
      <c r="O71" s="4" t="s">
        <v>301</v>
      </c>
      <c r="P71" s="3"/>
    </row>
    <row r="72" customFormat="false" ht="57.45" hidden="false" customHeight="false" outlineLevel="0" collapsed="false">
      <c r="A72" s="3" t="s">
        <v>662</v>
      </c>
      <c r="B72" s="3" t="s">
        <v>162</v>
      </c>
      <c r="C72" s="3" t="s">
        <v>163</v>
      </c>
      <c r="D72" s="3" t="s">
        <v>663</v>
      </c>
      <c r="E72" s="3" t="s">
        <v>664</v>
      </c>
      <c r="F72" s="3" t="s">
        <v>292</v>
      </c>
      <c r="G72" s="3" t="s">
        <v>426</v>
      </c>
      <c r="H72" s="3" t="s">
        <v>294</v>
      </c>
      <c r="I72" s="3" t="s">
        <v>665</v>
      </c>
      <c r="J72" s="3" t="s">
        <v>432</v>
      </c>
      <c r="K72" s="3" t="s">
        <v>666</v>
      </c>
      <c r="L72" s="3" t="s">
        <v>298</v>
      </c>
      <c r="M72" s="3" t="s">
        <v>299</v>
      </c>
      <c r="N72" s="3" t="s">
        <v>300</v>
      </c>
      <c r="O72" s="4" t="s">
        <v>301</v>
      </c>
      <c r="P72" s="3"/>
    </row>
    <row r="73" customFormat="false" ht="57.45" hidden="false" customHeight="false" outlineLevel="0" collapsed="false">
      <c r="A73" s="3" t="s">
        <v>667</v>
      </c>
      <c r="B73" s="3" t="s">
        <v>162</v>
      </c>
      <c r="C73" s="3" t="s">
        <v>163</v>
      </c>
      <c r="D73" s="3" t="s">
        <v>668</v>
      </c>
      <c r="E73" s="3" t="s">
        <v>669</v>
      </c>
      <c r="F73" s="3" t="s">
        <v>292</v>
      </c>
      <c r="G73" s="3" t="s">
        <v>426</v>
      </c>
      <c r="H73" s="3" t="s">
        <v>294</v>
      </c>
      <c r="I73" s="3" t="s">
        <v>670</v>
      </c>
      <c r="J73" s="3" t="s">
        <v>432</v>
      </c>
      <c r="K73" s="3" t="s">
        <v>666</v>
      </c>
      <c r="L73" s="3" t="s">
        <v>298</v>
      </c>
      <c r="M73" s="3" t="s">
        <v>299</v>
      </c>
      <c r="N73" s="3" t="s">
        <v>300</v>
      </c>
      <c r="O73" s="4" t="s">
        <v>301</v>
      </c>
      <c r="P73" s="3"/>
    </row>
    <row r="74" customFormat="false" ht="57.45" hidden="false" customHeight="false" outlineLevel="0" collapsed="false">
      <c r="A74" s="3" t="s">
        <v>671</v>
      </c>
      <c r="B74" s="3" t="s">
        <v>162</v>
      </c>
      <c r="C74" s="3" t="s">
        <v>163</v>
      </c>
      <c r="D74" s="3" t="s">
        <v>672</v>
      </c>
      <c r="E74" s="3" t="s">
        <v>673</v>
      </c>
      <c r="F74" s="3" t="s">
        <v>317</v>
      </c>
      <c r="G74" s="3" t="s">
        <v>426</v>
      </c>
      <c r="H74" s="3" t="s">
        <v>294</v>
      </c>
      <c r="I74" s="3" t="s">
        <v>674</v>
      </c>
      <c r="J74" s="3" t="s">
        <v>432</v>
      </c>
      <c r="K74" s="3" t="s">
        <v>320</v>
      </c>
      <c r="L74" s="3" t="s">
        <v>298</v>
      </c>
      <c r="M74" s="3" t="s">
        <v>299</v>
      </c>
      <c r="N74" s="3" t="s">
        <v>300</v>
      </c>
      <c r="O74" s="4" t="s">
        <v>301</v>
      </c>
      <c r="P74" s="3"/>
    </row>
    <row r="75" customFormat="false" ht="57.45" hidden="false" customHeight="false" outlineLevel="0" collapsed="false">
      <c r="A75" s="3" t="s">
        <v>675</v>
      </c>
      <c r="B75" s="3" t="s">
        <v>162</v>
      </c>
      <c r="C75" s="3" t="s">
        <v>163</v>
      </c>
      <c r="D75" s="3" t="s">
        <v>676</v>
      </c>
      <c r="E75" s="3" t="s">
        <v>677</v>
      </c>
      <c r="F75" s="3" t="s">
        <v>381</v>
      </c>
      <c r="G75" s="3" t="s">
        <v>426</v>
      </c>
      <c r="H75" s="3" t="s">
        <v>382</v>
      </c>
      <c r="I75" s="3" t="s">
        <v>678</v>
      </c>
      <c r="J75" s="3" t="s">
        <v>103</v>
      </c>
      <c r="K75" s="3" t="s">
        <v>385</v>
      </c>
      <c r="L75" s="3" t="s">
        <v>298</v>
      </c>
      <c r="M75" s="3" t="s">
        <v>299</v>
      </c>
      <c r="N75" s="3" t="s">
        <v>300</v>
      </c>
      <c r="O75" s="4" t="s">
        <v>301</v>
      </c>
      <c r="P75" s="3"/>
    </row>
    <row r="76" customFormat="false" ht="91" hidden="false" customHeight="false" outlineLevel="0" collapsed="false">
      <c r="A76" s="3" t="s">
        <v>679</v>
      </c>
      <c r="B76" s="3" t="s">
        <v>162</v>
      </c>
      <c r="C76" s="3" t="s">
        <v>175</v>
      </c>
      <c r="D76" s="3" t="s">
        <v>680</v>
      </c>
      <c r="E76" s="3" t="s">
        <v>681</v>
      </c>
      <c r="F76" s="3" t="s">
        <v>292</v>
      </c>
      <c r="G76" s="3" t="s">
        <v>589</v>
      </c>
      <c r="H76" s="3" t="s">
        <v>294</v>
      </c>
      <c r="I76" s="3" t="s">
        <v>682</v>
      </c>
      <c r="J76" s="3" t="s">
        <v>572</v>
      </c>
      <c r="K76" s="3" t="s">
        <v>683</v>
      </c>
      <c r="L76" s="3" t="s">
        <v>298</v>
      </c>
      <c r="M76" s="3" t="s">
        <v>299</v>
      </c>
      <c r="N76" s="3" t="s">
        <v>300</v>
      </c>
      <c r="O76" s="4" t="s">
        <v>301</v>
      </c>
      <c r="P76" s="3"/>
    </row>
    <row r="77" customFormat="false" ht="91" hidden="false" customHeight="false" outlineLevel="0" collapsed="false">
      <c r="A77" s="3" t="s">
        <v>684</v>
      </c>
      <c r="B77" s="3" t="s">
        <v>162</v>
      </c>
      <c r="C77" s="3" t="s">
        <v>175</v>
      </c>
      <c r="D77" s="3" t="s">
        <v>685</v>
      </c>
      <c r="E77" s="3" t="s">
        <v>686</v>
      </c>
      <c r="F77" s="3" t="s">
        <v>292</v>
      </c>
      <c r="G77" s="3" t="s">
        <v>589</v>
      </c>
      <c r="H77" s="3" t="s">
        <v>294</v>
      </c>
      <c r="I77" s="3" t="s">
        <v>687</v>
      </c>
      <c r="J77" s="3" t="s">
        <v>688</v>
      </c>
      <c r="K77" s="3" t="s">
        <v>689</v>
      </c>
      <c r="L77" s="3" t="s">
        <v>298</v>
      </c>
      <c r="M77" s="3" t="s">
        <v>299</v>
      </c>
      <c r="N77" s="3" t="s">
        <v>300</v>
      </c>
      <c r="O77" s="4" t="s">
        <v>301</v>
      </c>
      <c r="P77" s="3"/>
    </row>
    <row r="78" customFormat="false" ht="68.65" hidden="false" customHeight="false" outlineLevel="0" collapsed="false">
      <c r="A78" s="3" t="s">
        <v>690</v>
      </c>
      <c r="B78" s="3" t="s">
        <v>162</v>
      </c>
      <c r="C78" s="3" t="s">
        <v>175</v>
      </c>
      <c r="D78" s="3" t="s">
        <v>691</v>
      </c>
      <c r="E78" s="3" t="s">
        <v>692</v>
      </c>
      <c r="F78" s="3" t="s">
        <v>317</v>
      </c>
      <c r="G78" s="3" t="s">
        <v>589</v>
      </c>
      <c r="H78" s="3" t="s">
        <v>294</v>
      </c>
      <c r="I78" s="3" t="s">
        <v>693</v>
      </c>
      <c r="J78" s="3" t="s">
        <v>694</v>
      </c>
      <c r="K78" s="3" t="s">
        <v>695</v>
      </c>
      <c r="L78" s="3" t="s">
        <v>298</v>
      </c>
      <c r="M78" s="3" t="s">
        <v>299</v>
      </c>
      <c r="N78" s="3" t="s">
        <v>300</v>
      </c>
      <c r="O78" s="4" t="s">
        <v>301</v>
      </c>
      <c r="P78" s="3"/>
    </row>
    <row r="79" customFormat="false" ht="68.65" hidden="false" customHeight="false" outlineLevel="0" collapsed="false">
      <c r="A79" s="3" t="s">
        <v>696</v>
      </c>
      <c r="B79" s="3" t="s">
        <v>162</v>
      </c>
      <c r="C79" s="3" t="s">
        <v>175</v>
      </c>
      <c r="D79" s="3" t="s">
        <v>697</v>
      </c>
      <c r="E79" s="3" t="s">
        <v>698</v>
      </c>
      <c r="F79" s="3" t="s">
        <v>317</v>
      </c>
      <c r="G79" s="3" t="s">
        <v>589</v>
      </c>
      <c r="H79" s="3" t="s">
        <v>294</v>
      </c>
      <c r="I79" s="3" t="s">
        <v>693</v>
      </c>
      <c r="J79" s="3" t="s">
        <v>694</v>
      </c>
      <c r="K79" s="3" t="s">
        <v>699</v>
      </c>
      <c r="L79" s="3" t="s">
        <v>298</v>
      </c>
      <c r="M79" s="3" t="s">
        <v>299</v>
      </c>
      <c r="N79" s="3" t="s">
        <v>300</v>
      </c>
      <c r="O79" s="4" t="s">
        <v>301</v>
      </c>
      <c r="P79" s="3"/>
    </row>
    <row r="80" customFormat="false" ht="135.8" hidden="false" customHeight="false" outlineLevel="0" collapsed="false">
      <c r="A80" s="3" t="s">
        <v>700</v>
      </c>
      <c r="B80" s="3" t="s">
        <v>162</v>
      </c>
      <c r="C80" s="3" t="s">
        <v>175</v>
      </c>
      <c r="D80" s="3" t="s">
        <v>701</v>
      </c>
      <c r="E80" s="3" t="s">
        <v>702</v>
      </c>
      <c r="F80" s="3" t="s">
        <v>703</v>
      </c>
      <c r="G80" s="3" t="s">
        <v>589</v>
      </c>
      <c r="H80" s="3" t="s">
        <v>294</v>
      </c>
      <c r="I80" s="3" t="s">
        <v>704</v>
      </c>
      <c r="J80" s="3" t="s">
        <v>572</v>
      </c>
      <c r="K80" s="3" t="s">
        <v>573</v>
      </c>
      <c r="L80" s="3" t="s">
        <v>298</v>
      </c>
      <c r="M80" s="3" t="s">
        <v>299</v>
      </c>
      <c r="N80" s="3" t="s">
        <v>300</v>
      </c>
      <c r="O80" s="4" t="s">
        <v>301</v>
      </c>
      <c r="P80" s="3"/>
    </row>
    <row r="81" customFormat="false" ht="124.6" hidden="false" customHeight="false" outlineLevel="0" collapsed="false">
      <c r="A81" s="3" t="s">
        <v>705</v>
      </c>
      <c r="B81" s="3" t="s">
        <v>162</v>
      </c>
      <c r="C81" s="3" t="s">
        <v>175</v>
      </c>
      <c r="D81" s="3" t="s">
        <v>706</v>
      </c>
      <c r="E81" s="3" t="s">
        <v>707</v>
      </c>
      <c r="F81" s="3" t="s">
        <v>703</v>
      </c>
      <c r="G81" s="3" t="s">
        <v>589</v>
      </c>
      <c r="H81" s="3" t="s">
        <v>294</v>
      </c>
      <c r="I81" s="3" t="s">
        <v>708</v>
      </c>
      <c r="J81" s="3" t="s">
        <v>709</v>
      </c>
      <c r="K81" s="3" t="s">
        <v>710</v>
      </c>
      <c r="L81" s="3" t="s">
        <v>298</v>
      </c>
      <c r="M81" s="3" t="s">
        <v>299</v>
      </c>
      <c r="N81" s="3" t="s">
        <v>300</v>
      </c>
      <c r="O81" s="4" t="s">
        <v>301</v>
      </c>
      <c r="P81" s="3"/>
    </row>
    <row r="82" customFormat="false" ht="91" hidden="false" customHeight="false" outlineLevel="0" collapsed="false">
      <c r="A82" s="3" t="s">
        <v>711</v>
      </c>
      <c r="B82" s="3" t="s">
        <v>162</v>
      </c>
      <c r="C82" s="3" t="s">
        <v>175</v>
      </c>
      <c r="D82" s="3" t="s">
        <v>712</v>
      </c>
      <c r="E82" s="3" t="s">
        <v>713</v>
      </c>
      <c r="F82" s="3" t="s">
        <v>317</v>
      </c>
      <c r="G82" s="3" t="s">
        <v>589</v>
      </c>
      <c r="H82" s="3" t="s">
        <v>294</v>
      </c>
      <c r="I82" s="3" t="s">
        <v>714</v>
      </c>
      <c r="J82" s="3" t="s">
        <v>715</v>
      </c>
      <c r="K82" s="3" t="s">
        <v>716</v>
      </c>
      <c r="L82" s="3" t="s">
        <v>298</v>
      </c>
      <c r="M82" s="3" t="s">
        <v>299</v>
      </c>
      <c r="N82" s="3" t="s">
        <v>300</v>
      </c>
      <c r="O82" s="4" t="s">
        <v>301</v>
      </c>
      <c r="P82" s="3"/>
    </row>
    <row r="83" customFormat="false" ht="68.65" hidden="false" customHeight="false" outlineLevel="0" collapsed="false">
      <c r="A83" s="3" t="s">
        <v>717</v>
      </c>
      <c r="B83" s="3" t="s">
        <v>162</v>
      </c>
      <c r="C83" s="3" t="s">
        <v>175</v>
      </c>
      <c r="D83" s="3" t="s">
        <v>718</v>
      </c>
      <c r="E83" s="3" t="s">
        <v>719</v>
      </c>
      <c r="F83" s="3" t="s">
        <v>317</v>
      </c>
      <c r="G83" s="3" t="s">
        <v>589</v>
      </c>
      <c r="H83" s="3" t="s">
        <v>294</v>
      </c>
      <c r="I83" s="3" t="s">
        <v>720</v>
      </c>
      <c r="J83" s="3" t="s">
        <v>721</v>
      </c>
      <c r="K83" s="3" t="s">
        <v>722</v>
      </c>
      <c r="L83" s="3" t="s">
        <v>298</v>
      </c>
      <c r="M83" s="3" t="s">
        <v>299</v>
      </c>
      <c r="N83" s="3" t="s">
        <v>300</v>
      </c>
      <c r="O83" s="4" t="s">
        <v>301</v>
      </c>
      <c r="P83" s="3"/>
    </row>
    <row r="84" customFormat="false" ht="57.45" hidden="false" customHeight="false" outlineLevel="0" collapsed="false">
      <c r="A84" s="3" t="s">
        <v>723</v>
      </c>
      <c r="B84" s="3" t="s">
        <v>162</v>
      </c>
      <c r="C84" s="3" t="s">
        <v>175</v>
      </c>
      <c r="D84" s="3" t="s">
        <v>724</v>
      </c>
      <c r="E84" s="3" t="s">
        <v>725</v>
      </c>
      <c r="F84" s="3" t="s">
        <v>381</v>
      </c>
      <c r="G84" s="3" t="s">
        <v>589</v>
      </c>
      <c r="H84" s="3" t="s">
        <v>382</v>
      </c>
      <c r="I84" s="3" t="s">
        <v>726</v>
      </c>
      <c r="J84" s="3" t="s">
        <v>694</v>
      </c>
      <c r="K84" s="3" t="s">
        <v>385</v>
      </c>
      <c r="L84" s="3" t="s">
        <v>298</v>
      </c>
      <c r="M84" s="3" t="s">
        <v>299</v>
      </c>
      <c r="N84" s="3" t="s">
        <v>300</v>
      </c>
      <c r="O84" s="4" t="s">
        <v>301</v>
      </c>
      <c r="P84" s="3"/>
    </row>
    <row r="85" customFormat="false" ht="91" hidden="false" customHeight="false" outlineLevel="0" collapsed="false">
      <c r="A85" s="3" t="s">
        <v>727</v>
      </c>
      <c r="B85" s="3" t="s">
        <v>162</v>
      </c>
      <c r="C85" s="3" t="s">
        <v>175</v>
      </c>
      <c r="D85" s="3" t="s">
        <v>728</v>
      </c>
      <c r="E85" s="3" t="s">
        <v>729</v>
      </c>
      <c r="F85" s="3" t="s">
        <v>317</v>
      </c>
      <c r="G85" s="3" t="s">
        <v>589</v>
      </c>
      <c r="H85" s="3" t="s">
        <v>294</v>
      </c>
      <c r="I85" s="3" t="s">
        <v>730</v>
      </c>
      <c r="J85" s="3" t="s">
        <v>731</v>
      </c>
      <c r="K85" s="3" t="s">
        <v>320</v>
      </c>
      <c r="L85" s="3" t="s">
        <v>298</v>
      </c>
      <c r="M85" s="3" t="s">
        <v>299</v>
      </c>
      <c r="N85" s="3" t="s">
        <v>300</v>
      </c>
      <c r="O85" s="4" t="s">
        <v>301</v>
      </c>
      <c r="P85" s="3"/>
    </row>
    <row r="86" customFormat="false" ht="91" hidden="false" customHeight="false" outlineLevel="0" collapsed="false">
      <c r="A86" s="3" t="s">
        <v>732</v>
      </c>
      <c r="B86" s="3" t="s">
        <v>162</v>
      </c>
      <c r="C86" s="3" t="s">
        <v>175</v>
      </c>
      <c r="D86" s="3" t="s">
        <v>733</v>
      </c>
      <c r="E86" s="3" t="s">
        <v>734</v>
      </c>
      <c r="F86" s="3" t="s">
        <v>317</v>
      </c>
      <c r="G86" s="3" t="s">
        <v>589</v>
      </c>
      <c r="H86" s="3" t="s">
        <v>294</v>
      </c>
      <c r="I86" s="3" t="s">
        <v>735</v>
      </c>
      <c r="J86" s="3" t="s">
        <v>736</v>
      </c>
      <c r="K86" s="3" t="s">
        <v>737</v>
      </c>
      <c r="L86" s="3" t="s">
        <v>298</v>
      </c>
      <c r="M86" s="3" t="s">
        <v>299</v>
      </c>
      <c r="N86" s="3" t="s">
        <v>300</v>
      </c>
      <c r="O86" s="4" t="s">
        <v>301</v>
      </c>
      <c r="P86" s="3"/>
    </row>
    <row r="87" customFormat="false" ht="91" hidden="false" customHeight="false" outlineLevel="0" collapsed="false">
      <c r="A87" s="3" t="s">
        <v>738</v>
      </c>
      <c r="B87" s="3" t="s">
        <v>162</v>
      </c>
      <c r="C87" s="3" t="s">
        <v>175</v>
      </c>
      <c r="D87" s="3" t="s">
        <v>739</v>
      </c>
      <c r="E87" s="3" t="s">
        <v>740</v>
      </c>
      <c r="F87" s="3" t="s">
        <v>741</v>
      </c>
      <c r="G87" s="3" t="s">
        <v>589</v>
      </c>
      <c r="H87" s="3" t="s">
        <v>294</v>
      </c>
      <c r="I87" s="3" t="s">
        <v>742</v>
      </c>
      <c r="J87" s="3" t="s">
        <v>743</v>
      </c>
      <c r="K87" s="3" t="s">
        <v>744</v>
      </c>
      <c r="L87" s="3" t="s">
        <v>298</v>
      </c>
      <c r="M87" s="3" t="s">
        <v>299</v>
      </c>
      <c r="N87" s="3" t="s">
        <v>300</v>
      </c>
      <c r="O87" s="4" t="s">
        <v>301</v>
      </c>
      <c r="P87" s="3"/>
    </row>
    <row r="88" customFormat="false" ht="91" hidden="false" customHeight="false" outlineLevel="0" collapsed="false">
      <c r="A88" s="3" t="s">
        <v>745</v>
      </c>
      <c r="B88" s="3" t="s">
        <v>162</v>
      </c>
      <c r="C88" s="3" t="s">
        <v>175</v>
      </c>
      <c r="D88" s="3" t="s">
        <v>746</v>
      </c>
      <c r="E88" s="3" t="s">
        <v>747</v>
      </c>
      <c r="F88" s="3" t="s">
        <v>741</v>
      </c>
      <c r="G88" s="3" t="s">
        <v>589</v>
      </c>
      <c r="H88" s="3" t="s">
        <v>294</v>
      </c>
      <c r="I88" s="3" t="s">
        <v>748</v>
      </c>
      <c r="J88" s="3" t="s">
        <v>749</v>
      </c>
      <c r="K88" s="3" t="s">
        <v>750</v>
      </c>
      <c r="L88" s="3" t="s">
        <v>298</v>
      </c>
      <c r="M88" s="3" t="s">
        <v>299</v>
      </c>
      <c r="N88" s="3" t="s">
        <v>300</v>
      </c>
      <c r="O88" s="4" t="s">
        <v>301</v>
      </c>
      <c r="P88" s="3"/>
    </row>
    <row r="89" customFormat="false" ht="91" hidden="false" customHeight="false" outlineLevel="0" collapsed="false">
      <c r="A89" s="3" t="s">
        <v>751</v>
      </c>
      <c r="B89" s="3" t="s">
        <v>162</v>
      </c>
      <c r="C89" s="3" t="s">
        <v>175</v>
      </c>
      <c r="D89" s="3" t="s">
        <v>752</v>
      </c>
      <c r="E89" s="3" t="s">
        <v>753</v>
      </c>
      <c r="F89" s="3" t="s">
        <v>741</v>
      </c>
      <c r="G89" s="3" t="s">
        <v>589</v>
      </c>
      <c r="H89" s="3" t="s">
        <v>294</v>
      </c>
      <c r="I89" s="3" t="s">
        <v>754</v>
      </c>
      <c r="J89" s="3" t="s">
        <v>755</v>
      </c>
      <c r="K89" s="3" t="s">
        <v>756</v>
      </c>
      <c r="L89" s="3" t="s">
        <v>298</v>
      </c>
      <c r="M89" s="3" t="s">
        <v>299</v>
      </c>
      <c r="N89" s="3" t="s">
        <v>300</v>
      </c>
      <c r="O89" s="4" t="s">
        <v>301</v>
      </c>
      <c r="P89" s="3"/>
    </row>
    <row r="90" customFormat="false" ht="91" hidden="false" customHeight="false" outlineLevel="0" collapsed="false">
      <c r="A90" s="3" t="s">
        <v>757</v>
      </c>
      <c r="B90" s="3" t="s">
        <v>162</v>
      </c>
      <c r="C90" s="3" t="s">
        <v>175</v>
      </c>
      <c r="D90" s="3" t="s">
        <v>758</v>
      </c>
      <c r="E90" s="3" t="s">
        <v>759</v>
      </c>
      <c r="F90" s="3" t="s">
        <v>741</v>
      </c>
      <c r="G90" s="3" t="s">
        <v>589</v>
      </c>
      <c r="H90" s="3" t="s">
        <v>294</v>
      </c>
      <c r="I90" s="3" t="s">
        <v>760</v>
      </c>
      <c r="J90" s="3" t="s">
        <v>761</v>
      </c>
      <c r="K90" s="3" t="s">
        <v>762</v>
      </c>
      <c r="L90" s="3" t="s">
        <v>298</v>
      </c>
      <c r="M90" s="3" t="s">
        <v>299</v>
      </c>
      <c r="N90" s="3" t="s">
        <v>300</v>
      </c>
      <c r="O90" s="4" t="s">
        <v>301</v>
      </c>
      <c r="P90" s="3"/>
    </row>
    <row r="91" customFormat="false" ht="91" hidden="false" customHeight="false" outlineLevel="0" collapsed="false">
      <c r="A91" s="3" t="s">
        <v>763</v>
      </c>
      <c r="B91" s="3" t="s">
        <v>162</v>
      </c>
      <c r="C91" s="3" t="s">
        <v>175</v>
      </c>
      <c r="D91" s="3" t="s">
        <v>764</v>
      </c>
      <c r="E91" s="3" t="s">
        <v>765</v>
      </c>
      <c r="F91" s="3" t="s">
        <v>317</v>
      </c>
      <c r="G91" s="3" t="s">
        <v>589</v>
      </c>
      <c r="H91" s="3" t="s">
        <v>294</v>
      </c>
      <c r="I91" s="3" t="s">
        <v>766</v>
      </c>
      <c r="J91" s="3" t="s">
        <v>767</v>
      </c>
      <c r="K91" s="3" t="s">
        <v>768</v>
      </c>
      <c r="L91" s="3" t="s">
        <v>298</v>
      </c>
      <c r="M91" s="3" t="s">
        <v>299</v>
      </c>
      <c r="N91" s="3" t="s">
        <v>300</v>
      </c>
      <c r="O91" s="4" t="s">
        <v>301</v>
      </c>
      <c r="P91" s="3"/>
    </row>
    <row r="92" customFormat="false" ht="91" hidden="false" customHeight="false" outlineLevel="0" collapsed="false">
      <c r="A92" s="3" t="s">
        <v>769</v>
      </c>
      <c r="B92" s="3" t="s">
        <v>162</v>
      </c>
      <c r="C92" s="3" t="s">
        <v>175</v>
      </c>
      <c r="D92" s="3" t="s">
        <v>770</v>
      </c>
      <c r="E92" s="3" t="s">
        <v>771</v>
      </c>
      <c r="F92" s="3" t="s">
        <v>317</v>
      </c>
      <c r="G92" s="3" t="s">
        <v>589</v>
      </c>
      <c r="H92" s="3" t="s">
        <v>294</v>
      </c>
      <c r="I92" s="3" t="s">
        <v>772</v>
      </c>
      <c r="J92" s="3" t="s">
        <v>773</v>
      </c>
      <c r="K92" s="3" t="s">
        <v>768</v>
      </c>
      <c r="L92" s="3" t="s">
        <v>298</v>
      </c>
      <c r="M92" s="3" t="s">
        <v>299</v>
      </c>
      <c r="N92" s="3" t="s">
        <v>300</v>
      </c>
      <c r="O92" s="4" t="s">
        <v>301</v>
      </c>
      <c r="P92" s="3"/>
    </row>
    <row r="93" customFormat="false" ht="91" hidden="false" customHeight="false" outlineLevel="0" collapsed="false">
      <c r="A93" s="3" t="s">
        <v>774</v>
      </c>
      <c r="B93" s="3" t="s">
        <v>162</v>
      </c>
      <c r="C93" s="3" t="s">
        <v>175</v>
      </c>
      <c r="D93" s="3" t="s">
        <v>775</v>
      </c>
      <c r="E93" s="3" t="s">
        <v>776</v>
      </c>
      <c r="F93" s="3" t="s">
        <v>777</v>
      </c>
      <c r="G93" s="3" t="s">
        <v>589</v>
      </c>
      <c r="H93" s="3" t="s">
        <v>294</v>
      </c>
      <c r="I93" s="3" t="s">
        <v>778</v>
      </c>
      <c r="J93" s="3" t="s">
        <v>779</v>
      </c>
      <c r="K93" s="3" t="s">
        <v>780</v>
      </c>
      <c r="L93" s="3" t="s">
        <v>298</v>
      </c>
      <c r="M93" s="3" t="s">
        <v>299</v>
      </c>
      <c r="N93" s="3" t="s">
        <v>300</v>
      </c>
      <c r="O93" s="4" t="s">
        <v>301</v>
      </c>
      <c r="P93" s="3"/>
    </row>
    <row r="94" customFormat="false" ht="91" hidden="false" customHeight="false" outlineLevel="0" collapsed="false">
      <c r="A94" s="3" t="s">
        <v>781</v>
      </c>
      <c r="B94" s="3" t="s">
        <v>162</v>
      </c>
      <c r="C94" s="3" t="s">
        <v>175</v>
      </c>
      <c r="D94" s="3" t="s">
        <v>782</v>
      </c>
      <c r="E94" s="3" t="s">
        <v>783</v>
      </c>
      <c r="F94" s="3" t="s">
        <v>784</v>
      </c>
      <c r="G94" s="3" t="s">
        <v>589</v>
      </c>
      <c r="H94" s="3" t="s">
        <v>294</v>
      </c>
      <c r="I94" s="3" t="s">
        <v>785</v>
      </c>
      <c r="J94" s="3" t="s">
        <v>786</v>
      </c>
      <c r="K94" s="3" t="s">
        <v>787</v>
      </c>
      <c r="L94" s="3" t="s">
        <v>298</v>
      </c>
      <c r="M94" s="3" t="s">
        <v>299</v>
      </c>
      <c r="N94" s="3" t="s">
        <v>300</v>
      </c>
      <c r="O94" s="4" t="s">
        <v>301</v>
      </c>
      <c r="P94" s="3"/>
    </row>
    <row r="95" customFormat="false" ht="158.2" hidden="false" customHeight="false" outlineLevel="0" collapsed="false">
      <c r="A95" s="3" t="s">
        <v>788</v>
      </c>
      <c r="B95" s="3" t="s">
        <v>162</v>
      </c>
      <c r="C95" s="3" t="s">
        <v>175</v>
      </c>
      <c r="D95" s="3" t="s">
        <v>789</v>
      </c>
      <c r="E95" s="3" t="s">
        <v>790</v>
      </c>
      <c r="F95" s="3" t="s">
        <v>777</v>
      </c>
      <c r="G95" s="3" t="s">
        <v>589</v>
      </c>
      <c r="H95" s="3" t="s">
        <v>294</v>
      </c>
      <c r="I95" s="3" t="s">
        <v>791</v>
      </c>
      <c r="J95" s="3" t="s">
        <v>792</v>
      </c>
      <c r="K95" s="3" t="s">
        <v>793</v>
      </c>
      <c r="L95" s="3" t="s">
        <v>298</v>
      </c>
      <c r="M95" s="3" t="s">
        <v>299</v>
      </c>
      <c r="N95" s="3" t="s">
        <v>300</v>
      </c>
      <c r="O95" s="4" t="s">
        <v>301</v>
      </c>
      <c r="P95" s="3"/>
    </row>
    <row r="96" customFormat="false" ht="91" hidden="false" customHeight="false" outlineLevel="0" collapsed="false">
      <c r="A96" s="3" t="s">
        <v>794</v>
      </c>
      <c r="B96" s="3" t="s">
        <v>162</v>
      </c>
      <c r="C96" s="3" t="s">
        <v>175</v>
      </c>
      <c r="D96" s="3" t="s">
        <v>795</v>
      </c>
      <c r="E96" s="3" t="s">
        <v>796</v>
      </c>
      <c r="F96" s="3" t="s">
        <v>317</v>
      </c>
      <c r="G96" s="3" t="s">
        <v>589</v>
      </c>
      <c r="H96" s="3" t="s">
        <v>294</v>
      </c>
      <c r="I96" s="3" t="s">
        <v>797</v>
      </c>
      <c r="J96" s="3" t="s">
        <v>798</v>
      </c>
      <c r="K96" s="3" t="s">
        <v>799</v>
      </c>
      <c r="L96" s="3" t="s">
        <v>298</v>
      </c>
      <c r="M96" s="3" t="s">
        <v>299</v>
      </c>
      <c r="N96" s="3" t="s">
        <v>300</v>
      </c>
      <c r="O96" s="4" t="s">
        <v>301</v>
      </c>
      <c r="P96" s="3"/>
    </row>
    <row r="97" customFormat="false" ht="91" hidden="false" customHeight="false" outlineLevel="0" collapsed="false">
      <c r="A97" s="3" t="s">
        <v>800</v>
      </c>
      <c r="B97" s="3" t="s">
        <v>162</v>
      </c>
      <c r="C97" s="3" t="s">
        <v>175</v>
      </c>
      <c r="D97" s="3" t="s">
        <v>801</v>
      </c>
      <c r="E97" s="3" t="s">
        <v>802</v>
      </c>
      <c r="F97" s="3" t="s">
        <v>292</v>
      </c>
      <c r="G97" s="3" t="s">
        <v>589</v>
      </c>
      <c r="H97" s="3" t="s">
        <v>294</v>
      </c>
      <c r="I97" s="3" t="s">
        <v>803</v>
      </c>
      <c r="J97" s="3" t="s">
        <v>804</v>
      </c>
      <c r="K97" s="3" t="s">
        <v>805</v>
      </c>
      <c r="L97" s="3" t="s">
        <v>298</v>
      </c>
      <c r="M97" s="3" t="s">
        <v>299</v>
      </c>
      <c r="N97" s="3" t="s">
        <v>300</v>
      </c>
      <c r="O97" s="4" t="s">
        <v>301</v>
      </c>
      <c r="P97" s="3"/>
    </row>
    <row r="98" customFormat="false" ht="113.4" hidden="false" customHeight="false" outlineLevel="0" collapsed="false">
      <c r="A98" s="3" t="s">
        <v>806</v>
      </c>
      <c r="B98" s="3" t="s">
        <v>162</v>
      </c>
      <c r="C98" s="3" t="s">
        <v>175</v>
      </c>
      <c r="D98" s="3" t="s">
        <v>807</v>
      </c>
      <c r="E98" s="3" t="s">
        <v>808</v>
      </c>
      <c r="F98" s="3" t="s">
        <v>317</v>
      </c>
      <c r="G98" s="3" t="s">
        <v>589</v>
      </c>
      <c r="H98" s="3" t="s">
        <v>294</v>
      </c>
      <c r="I98" s="3" t="s">
        <v>809</v>
      </c>
      <c r="J98" s="3" t="s">
        <v>810</v>
      </c>
      <c r="K98" s="3" t="s">
        <v>811</v>
      </c>
      <c r="L98" s="3" t="s">
        <v>298</v>
      </c>
      <c r="M98" s="3" t="s">
        <v>299</v>
      </c>
      <c r="N98" s="3" t="s">
        <v>300</v>
      </c>
      <c r="O98" s="4" t="s">
        <v>301</v>
      </c>
      <c r="P98" s="3"/>
    </row>
    <row r="99" customFormat="false" ht="113.4" hidden="false" customHeight="false" outlineLevel="0" collapsed="false">
      <c r="A99" s="3" t="s">
        <v>812</v>
      </c>
      <c r="B99" s="3" t="s">
        <v>162</v>
      </c>
      <c r="C99" s="3" t="s">
        <v>175</v>
      </c>
      <c r="D99" s="3" t="s">
        <v>813</v>
      </c>
      <c r="E99" s="3" t="s">
        <v>814</v>
      </c>
      <c r="F99" s="3" t="s">
        <v>317</v>
      </c>
      <c r="G99" s="3" t="s">
        <v>589</v>
      </c>
      <c r="H99" s="3" t="s">
        <v>294</v>
      </c>
      <c r="I99" s="3" t="s">
        <v>815</v>
      </c>
      <c r="J99" s="3" t="s">
        <v>810</v>
      </c>
      <c r="K99" s="3" t="s">
        <v>811</v>
      </c>
      <c r="L99" s="3" t="s">
        <v>298</v>
      </c>
      <c r="M99" s="3" t="s">
        <v>299</v>
      </c>
      <c r="N99" s="3" t="s">
        <v>300</v>
      </c>
      <c r="O99" s="4" t="s">
        <v>301</v>
      </c>
      <c r="P99" s="3"/>
    </row>
    <row r="100" customFormat="false" ht="91" hidden="false" customHeight="false" outlineLevel="0" collapsed="false">
      <c r="A100" s="3" t="s">
        <v>816</v>
      </c>
      <c r="B100" s="3" t="s">
        <v>162</v>
      </c>
      <c r="C100" s="3" t="s">
        <v>175</v>
      </c>
      <c r="D100" s="3" t="s">
        <v>817</v>
      </c>
      <c r="E100" s="3" t="s">
        <v>818</v>
      </c>
      <c r="F100" s="3" t="s">
        <v>819</v>
      </c>
      <c r="G100" s="3" t="s">
        <v>589</v>
      </c>
      <c r="H100" s="3" t="s">
        <v>820</v>
      </c>
      <c r="I100" s="3" t="s">
        <v>821</v>
      </c>
      <c r="J100" s="3" t="s">
        <v>810</v>
      </c>
      <c r="K100" s="3" t="s">
        <v>822</v>
      </c>
      <c r="L100" s="3" t="s">
        <v>298</v>
      </c>
      <c r="M100" s="3" t="s">
        <v>299</v>
      </c>
      <c r="N100" s="3" t="s">
        <v>300</v>
      </c>
      <c r="O100" s="4" t="s">
        <v>301</v>
      </c>
      <c r="P100" s="3"/>
    </row>
    <row r="101" customFormat="false" ht="102.2" hidden="false" customHeight="false" outlineLevel="0" collapsed="false">
      <c r="A101" s="3" t="s">
        <v>823</v>
      </c>
      <c r="B101" s="3" t="s">
        <v>162</v>
      </c>
      <c r="C101" s="3" t="s">
        <v>225</v>
      </c>
      <c r="D101" s="3" t="s">
        <v>824</v>
      </c>
      <c r="E101" s="3" t="s">
        <v>825</v>
      </c>
      <c r="F101" s="3" t="s">
        <v>292</v>
      </c>
      <c r="G101" s="3" t="s">
        <v>426</v>
      </c>
      <c r="H101" s="3" t="s">
        <v>294</v>
      </c>
      <c r="I101" s="3" t="s">
        <v>826</v>
      </c>
      <c r="J101" s="3" t="s">
        <v>827</v>
      </c>
      <c r="K101" s="3" t="s">
        <v>828</v>
      </c>
      <c r="L101" s="3" t="s">
        <v>298</v>
      </c>
      <c r="M101" s="3" t="s">
        <v>299</v>
      </c>
      <c r="N101" s="3" t="s">
        <v>300</v>
      </c>
      <c r="O101" s="4" t="s">
        <v>301</v>
      </c>
      <c r="P101" s="3"/>
    </row>
    <row r="102" customFormat="false" ht="673.1" hidden="false" customHeight="false" outlineLevel="0" collapsed="false">
      <c r="A102" s="3" t="s">
        <v>829</v>
      </c>
      <c r="B102" s="3" t="s">
        <v>162</v>
      </c>
      <c r="C102" s="3" t="s">
        <v>225</v>
      </c>
      <c r="D102" s="3" t="s">
        <v>830</v>
      </c>
      <c r="E102" s="3" t="s">
        <v>831</v>
      </c>
      <c r="F102" s="3" t="s">
        <v>832</v>
      </c>
      <c r="G102" s="3" t="s">
        <v>426</v>
      </c>
      <c r="H102" s="3" t="s">
        <v>294</v>
      </c>
      <c r="I102" s="3" t="s">
        <v>833</v>
      </c>
      <c r="J102" s="3" t="s">
        <v>792</v>
      </c>
      <c r="K102" s="3" t="s">
        <v>834</v>
      </c>
      <c r="L102" s="3" t="s">
        <v>298</v>
      </c>
      <c r="M102" s="3" t="s">
        <v>299</v>
      </c>
      <c r="N102" s="3" t="s">
        <v>300</v>
      </c>
      <c r="O102" s="4" t="s">
        <v>301</v>
      </c>
      <c r="P102" s="3"/>
    </row>
    <row r="103" customFormat="false" ht="135.8" hidden="false" customHeight="false" outlineLevel="0" collapsed="false">
      <c r="A103" s="3" t="s">
        <v>835</v>
      </c>
      <c r="B103" s="3" t="s">
        <v>162</v>
      </c>
      <c r="C103" s="3" t="s">
        <v>225</v>
      </c>
      <c r="D103" s="3" t="s">
        <v>836</v>
      </c>
      <c r="E103" s="3" t="s">
        <v>837</v>
      </c>
      <c r="F103" s="3" t="s">
        <v>832</v>
      </c>
      <c r="G103" s="3" t="s">
        <v>426</v>
      </c>
      <c r="H103" s="3" t="s">
        <v>294</v>
      </c>
      <c r="I103" s="3" t="s">
        <v>838</v>
      </c>
      <c r="J103" s="3" t="s">
        <v>827</v>
      </c>
      <c r="K103" s="3" t="s">
        <v>839</v>
      </c>
      <c r="L103" s="3" t="s">
        <v>298</v>
      </c>
      <c r="M103" s="3" t="s">
        <v>299</v>
      </c>
      <c r="N103" s="3" t="s">
        <v>300</v>
      </c>
      <c r="O103" s="4" t="s">
        <v>301</v>
      </c>
      <c r="P103" s="3"/>
    </row>
    <row r="104" customFormat="false" ht="57.45" hidden="false" customHeight="false" outlineLevel="0" collapsed="false">
      <c r="A104" s="3" t="s">
        <v>840</v>
      </c>
      <c r="B104" s="3" t="s">
        <v>162</v>
      </c>
      <c r="C104" s="3" t="s">
        <v>225</v>
      </c>
      <c r="D104" s="3" t="s">
        <v>841</v>
      </c>
      <c r="E104" s="3" t="s">
        <v>842</v>
      </c>
      <c r="F104" s="3" t="s">
        <v>843</v>
      </c>
      <c r="G104" s="3" t="s">
        <v>426</v>
      </c>
      <c r="H104" s="3" t="s">
        <v>294</v>
      </c>
      <c r="I104" s="3" t="s">
        <v>844</v>
      </c>
      <c r="J104" s="3" t="s">
        <v>432</v>
      </c>
      <c r="K104" s="3" t="s">
        <v>320</v>
      </c>
      <c r="L104" s="3" t="s">
        <v>298</v>
      </c>
      <c r="M104" s="3" t="s">
        <v>299</v>
      </c>
      <c r="N104" s="3" t="s">
        <v>300</v>
      </c>
      <c r="O104" s="4" t="s">
        <v>301</v>
      </c>
      <c r="P104" s="3"/>
    </row>
    <row r="105" customFormat="false" ht="57.45" hidden="false" customHeight="false" outlineLevel="0" collapsed="false">
      <c r="A105" s="3" t="s">
        <v>845</v>
      </c>
      <c r="B105" s="3" t="s">
        <v>162</v>
      </c>
      <c r="C105" s="3" t="s">
        <v>225</v>
      </c>
      <c r="D105" s="3" t="s">
        <v>846</v>
      </c>
      <c r="E105" s="3" t="s">
        <v>847</v>
      </c>
      <c r="F105" s="3" t="s">
        <v>843</v>
      </c>
      <c r="G105" s="3" t="s">
        <v>426</v>
      </c>
      <c r="H105" s="3" t="s">
        <v>294</v>
      </c>
      <c r="I105" s="3" t="s">
        <v>848</v>
      </c>
      <c r="J105" s="3" t="s">
        <v>432</v>
      </c>
      <c r="K105" s="3" t="s">
        <v>320</v>
      </c>
      <c r="L105" s="3" t="s">
        <v>298</v>
      </c>
      <c r="M105" s="3" t="s">
        <v>299</v>
      </c>
      <c r="N105" s="3" t="s">
        <v>300</v>
      </c>
      <c r="O105" s="4" t="s">
        <v>301</v>
      </c>
      <c r="P105" s="3"/>
    </row>
    <row r="106" customFormat="false" ht="57.45" hidden="false" customHeight="false" outlineLevel="0" collapsed="false">
      <c r="A106" s="3" t="s">
        <v>849</v>
      </c>
      <c r="B106" s="3" t="s">
        <v>162</v>
      </c>
      <c r="C106" s="3" t="s">
        <v>225</v>
      </c>
      <c r="D106" s="3" t="s">
        <v>850</v>
      </c>
      <c r="E106" s="3" t="s">
        <v>851</v>
      </c>
      <c r="F106" s="3" t="s">
        <v>843</v>
      </c>
      <c r="G106" s="3" t="s">
        <v>426</v>
      </c>
      <c r="H106" s="3" t="s">
        <v>294</v>
      </c>
      <c r="I106" s="3" t="s">
        <v>852</v>
      </c>
      <c r="J106" s="3" t="s">
        <v>432</v>
      </c>
      <c r="K106" s="3" t="s">
        <v>320</v>
      </c>
      <c r="L106" s="3" t="s">
        <v>298</v>
      </c>
      <c r="M106" s="3" t="s">
        <v>299</v>
      </c>
      <c r="N106" s="3" t="s">
        <v>300</v>
      </c>
      <c r="O106" s="4" t="s">
        <v>301</v>
      </c>
      <c r="P106" s="3"/>
    </row>
    <row r="107" customFormat="false" ht="57.45" hidden="false" customHeight="false" outlineLevel="0" collapsed="false">
      <c r="A107" s="3" t="s">
        <v>853</v>
      </c>
      <c r="B107" s="3" t="s">
        <v>162</v>
      </c>
      <c r="C107" s="3" t="s">
        <v>225</v>
      </c>
      <c r="D107" s="3" t="s">
        <v>854</v>
      </c>
      <c r="E107" s="3" t="s">
        <v>855</v>
      </c>
      <c r="F107" s="3" t="s">
        <v>843</v>
      </c>
      <c r="G107" s="3" t="s">
        <v>426</v>
      </c>
      <c r="H107" s="3" t="s">
        <v>294</v>
      </c>
      <c r="I107" s="3" t="s">
        <v>856</v>
      </c>
      <c r="J107" s="3" t="s">
        <v>432</v>
      </c>
      <c r="K107" s="3" t="s">
        <v>320</v>
      </c>
      <c r="L107" s="3" t="s">
        <v>298</v>
      </c>
      <c r="M107" s="3" t="s">
        <v>299</v>
      </c>
      <c r="N107" s="3" t="s">
        <v>300</v>
      </c>
      <c r="O107" s="4" t="s">
        <v>301</v>
      </c>
      <c r="P107" s="3"/>
    </row>
    <row r="108" customFormat="false" ht="57.45" hidden="false" customHeight="false" outlineLevel="0" collapsed="false">
      <c r="A108" s="3" t="s">
        <v>857</v>
      </c>
      <c r="B108" s="3" t="s">
        <v>162</v>
      </c>
      <c r="C108" s="3" t="s">
        <v>225</v>
      </c>
      <c r="D108" s="3" t="s">
        <v>858</v>
      </c>
      <c r="E108" s="3" t="s">
        <v>859</v>
      </c>
      <c r="F108" s="3" t="s">
        <v>843</v>
      </c>
      <c r="G108" s="3" t="s">
        <v>426</v>
      </c>
      <c r="H108" s="3" t="s">
        <v>294</v>
      </c>
      <c r="I108" s="3" t="s">
        <v>860</v>
      </c>
      <c r="J108" s="3" t="s">
        <v>432</v>
      </c>
      <c r="K108" s="3" t="s">
        <v>320</v>
      </c>
      <c r="L108" s="3" t="s">
        <v>298</v>
      </c>
      <c r="M108" s="3" t="s">
        <v>299</v>
      </c>
      <c r="N108" s="3" t="s">
        <v>300</v>
      </c>
      <c r="O108" s="4" t="s">
        <v>301</v>
      </c>
      <c r="P108" s="3"/>
    </row>
    <row r="109" customFormat="false" ht="57.45" hidden="false" customHeight="false" outlineLevel="0" collapsed="false">
      <c r="A109" s="3" t="s">
        <v>861</v>
      </c>
      <c r="B109" s="3" t="s">
        <v>162</v>
      </c>
      <c r="C109" s="3" t="s">
        <v>225</v>
      </c>
      <c r="D109" s="3" t="s">
        <v>862</v>
      </c>
      <c r="E109" s="3" t="s">
        <v>863</v>
      </c>
      <c r="F109" s="3" t="s">
        <v>843</v>
      </c>
      <c r="G109" s="3" t="s">
        <v>426</v>
      </c>
      <c r="H109" s="3" t="s">
        <v>294</v>
      </c>
      <c r="I109" s="3" t="s">
        <v>864</v>
      </c>
      <c r="J109" s="3" t="s">
        <v>432</v>
      </c>
      <c r="K109" s="3" t="s">
        <v>320</v>
      </c>
      <c r="L109" s="3" t="s">
        <v>298</v>
      </c>
      <c r="M109" s="3" t="s">
        <v>299</v>
      </c>
      <c r="N109" s="3" t="s">
        <v>300</v>
      </c>
      <c r="O109" s="4" t="s">
        <v>301</v>
      </c>
      <c r="P109" s="3"/>
    </row>
    <row r="110" customFormat="false" ht="57.45" hidden="false" customHeight="false" outlineLevel="0" collapsed="false">
      <c r="A110" s="3" t="s">
        <v>865</v>
      </c>
      <c r="B110" s="3" t="s">
        <v>162</v>
      </c>
      <c r="C110" s="3" t="s">
        <v>225</v>
      </c>
      <c r="D110" s="3" t="s">
        <v>866</v>
      </c>
      <c r="E110" s="3" t="s">
        <v>867</v>
      </c>
      <c r="F110" s="3" t="s">
        <v>843</v>
      </c>
      <c r="G110" s="3" t="s">
        <v>426</v>
      </c>
      <c r="H110" s="3" t="s">
        <v>294</v>
      </c>
      <c r="I110" s="3" t="s">
        <v>868</v>
      </c>
      <c r="J110" s="3" t="s">
        <v>432</v>
      </c>
      <c r="K110" s="3" t="s">
        <v>320</v>
      </c>
      <c r="L110" s="3" t="s">
        <v>298</v>
      </c>
      <c r="M110" s="3" t="s">
        <v>299</v>
      </c>
      <c r="N110" s="3" t="s">
        <v>300</v>
      </c>
      <c r="O110" s="4" t="s">
        <v>301</v>
      </c>
      <c r="P110" s="3"/>
    </row>
    <row r="111" customFormat="false" ht="113.4" hidden="false" customHeight="false" outlineLevel="0" collapsed="false">
      <c r="A111" s="3" t="s">
        <v>869</v>
      </c>
      <c r="B111" s="3" t="s">
        <v>162</v>
      </c>
      <c r="C111" s="3" t="s">
        <v>225</v>
      </c>
      <c r="D111" s="3" t="s">
        <v>870</v>
      </c>
      <c r="E111" s="3" t="s">
        <v>871</v>
      </c>
      <c r="F111" s="3" t="s">
        <v>872</v>
      </c>
      <c r="G111" s="3" t="s">
        <v>426</v>
      </c>
      <c r="H111" s="3" t="s">
        <v>294</v>
      </c>
      <c r="I111" s="3" t="s">
        <v>873</v>
      </c>
      <c r="J111" s="3" t="s">
        <v>827</v>
      </c>
      <c r="K111" s="3" t="s">
        <v>488</v>
      </c>
      <c r="L111" s="3" t="s">
        <v>298</v>
      </c>
      <c r="M111" s="3" t="s">
        <v>299</v>
      </c>
      <c r="N111" s="3" t="s">
        <v>300</v>
      </c>
      <c r="O111" s="4" t="s">
        <v>301</v>
      </c>
      <c r="P111" s="3"/>
    </row>
    <row r="112" customFormat="false" ht="135.8" hidden="false" customHeight="false" outlineLevel="0" collapsed="false">
      <c r="A112" s="3" t="s">
        <v>874</v>
      </c>
      <c r="B112" s="3" t="s">
        <v>162</v>
      </c>
      <c r="C112" s="3" t="s">
        <v>225</v>
      </c>
      <c r="D112" s="3" t="s">
        <v>875</v>
      </c>
      <c r="E112" s="3" t="s">
        <v>876</v>
      </c>
      <c r="F112" s="3" t="s">
        <v>872</v>
      </c>
      <c r="G112" s="3" t="s">
        <v>426</v>
      </c>
      <c r="H112" s="3" t="s">
        <v>294</v>
      </c>
      <c r="I112" s="3" t="s">
        <v>877</v>
      </c>
      <c r="J112" s="3" t="s">
        <v>827</v>
      </c>
      <c r="K112" s="3" t="s">
        <v>488</v>
      </c>
      <c r="L112" s="3" t="s">
        <v>298</v>
      </c>
      <c r="M112" s="3" t="s">
        <v>299</v>
      </c>
      <c r="N112" s="3" t="s">
        <v>300</v>
      </c>
      <c r="O112" s="4" t="s">
        <v>301</v>
      </c>
      <c r="P112" s="3"/>
    </row>
    <row r="113" customFormat="false" ht="57.45" hidden="false" customHeight="false" outlineLevel="0" collapsed="false">
      <c r="A113" s="3" t="s">
        <v>878</v>
      </c>
      <c r="B113" s="3" t="s">
        <v>162</v>
      </c>
      <c r="C113" s="3" t="s">
        <v>225</v>
      </c>
      <c r="D113" s="3" t="s">
        <v>879</v>
      </c>
      <c r="E113" s="3" t="s">
        <v>880</v>
      </c>
      <c r="F113" s="3" t="s">
        <v>381</v>
      </c>
      <c r="G113" s="3" t="s">
        <v>426</v>
      </c>
      <c r="H113" s="3" t="s">
        <v>382</v>
      </c>
      <c r="I113" s="3" t="s">
        <v>881</v>
      </c>
      <c r="J113" s="3" t="s">
        <v>103</v>
      </c>
      <c r="K113" s="3" t="s">
        <v>385</v>
      </c>
      <c r="L113" s="3" t="s">
        <v>298</v>
      </c>
      <c r="M113" s="3" t="s">
        <v>299</v>
      </c>
      <c r="N113" s="3" t="s">
        <v>300</v>
      </c>
      <c r="O113" s="4" t="s">
        <v>301</v>
      </c>
      <c r="P113" s="3"/>
    </row>
    <row r="114" customFormat="false" ht="57.45" hidden="false" customHeight="false" outlineLevel="0" collapsed="false">
      <c r="A114" s="3" t="s">
        <v>882</v>
      </c>
      <c r="B114" s="3" t="s">
        <v>87</v>
      </c>
      <c r="C114" s="3" t="s">
        <v>88</v>
      </c>
      <c r="D114" s="3" t="s">
        <v>883</v>
      </c>
      <c r="E114" s="3" t="s">
        <v>884</v>
      </c>
      <c r="F114" s="3" t="s">
        <v>777</v>
      </c>
      <c r="G114" s="3" t="s">
        <v>589</v>
      </c>
      <c r="H114" s="3" t="s">
        <v>885</v>
      </c>
      <c r="I114" s="3" t="s">
        <v>886</v>
      </c>
      <c r="J114" s="3" t="s">
        <v>887</v>
      </c>
      <c r="K114" s="3" t="s">
        <v>799</v>
      </c>
      <c r="L114" s="3" t="s">
        <v>888</v>
      </c>
      <c r="M114" s="3" t="s">
        <v>889</v>
      </c>
      <c r="N114" s="3" t="s">
        <v>890</v>
      </c>
      <c r="O114" s="6" t="s">
        <v>891</v>
      </c>
      <c r="P114" s="3" t="s">
        <v>892</v>
      </c>
    </row>
    <row r="115" customFormat="false" ht="46.25" hidden="false" customHeight="false" outlineLevel="0" collapsed="false">
      <c r="A115" s="3" t="s">
        <v>893</v>
      </c>
      <c r="B115" s="3" t="s">
        <v>87</v>
      </c>
      <c r="C115" s="3" t="s">
        <v>88</v>
      </c>
      <c r="D115" s="3" t="s">
        <v>894</v>
      </c>
      <c r="E115" s="3" t="s">
        <v>895</v>
      </c>
      <c r="F115" s="3" t="s">
        <v>784</v>
      </c>
      <c r="G115" s="3" t="s">
        <v>589</v>
      </c>
      <c r="H115" s="3" t="s">
        <v>896</v>
      </c>
      <c r="I115" s="3" t="s">
        <v>897</v>
      </c>
      <c r="J115" s="3" t="s">
        <v>898</v>
      </c>
      <c r="K115" s="3" t="s">
        <v>899</v>
      </c>
      <c r="L115" s="3" t="s">
        <v>888</v>
      </c>
      <c r="M115" s="3" t="s">
        <v>900</v>
      </c>
      <c r="N115" s="3" t="s">
        <v>890</v>
      </c>
      <c r="O115" s="6" t="s">
        <v>891</v>
      </c>
      <c r="P115" s="3" t="s">
        <v>901</v>
      </c>
    </row>
    <row r="116" customFormat="false" ht="46.25" hidden="false" customHeight="false" outlineLevel="0" collapsed="false">
      <c r="A116" s="3" t="s">
        <v>902</v>
      </c>
      <c r="B116" s="3" t="s">
        <v>87</v>
      </c>
      <c r="C116" s="3" t="s">
        <v>123</v>
      </c>
      <c r="D116" s="3" t="s">
        <v>903</v>
      </c>
      <c r="E116" s="3" t="s">
        <v>904</v>
      </c>
      <c r="F116" s="3" t="s">
        <v>381</v>
      </c>
      <c r="G116" s="3" t="s">
        <v>589</v>
      </c>
      <c r="H116" s="3" t="s">
        <v>905</v>
      </c>
      <c r="I116" s="3" t="s">
        <v>906</v>
      </c>
      <c r="J116" s="3" t="s">
        <v>907</v>
      </c>
      <c r="K116" s="3" t="s">
        <v>908</v>
      </c>
      <c r="L116" s="3" t="s">
        <v>888</v>
      </c>
      <c r="M116" s="3" t="s">
        <v>909</v>
      </c>
      <c r="N116" s="3" t="s">
        <v>890</v>
      </c>
      <c r="O116" s="6" t="s">
        <v>891</v>
      </c>
      <c r="P116" s="3" t="s">
        <v>910</v>
      </c>
    </row>
    <row r="117" customFormat="false" ht="35.05" hidden="false" customHeight="false" outlineLevel="0" collapsed="false">
      <c r="A117" s="3" t="s">
        <v>911</v>
      </c>
      <c r="B117" s="3" t="s">
        <v>87</v>
      </c>
      <c r="C117" s="3" t="s">
        <v>148</v>
      </c>
      <c r="D117" s="3" t="s">
        <v>912</v>
      </c>
      <c r="E117" s="3" t="s">
        <v>913</v>
      </c>
      <c r="F117" s="3" t="s">
        <v>292</v>
      </c>
      <c r="G117" s="3" t="s">
        <v>293</v>
      </c>
      <c r="H117" s="3" t="s">
        <v>914</v>
      </c>
      <c r="I117" s="3" t="s">
        <v>915</v>
      </c>
      <c r="J117" s="3" t="s">
        <v>916</v>
      </c>
      <c r="K117" s="3" t="s">
        <v>917</v>
      </c>
      <c r="L117" s="3" t="s">
        <v>888</v>
      </c>
      <c r="M117" s="3" t="s">
        <v>918</v>
      </c>
      <c r="N117" s="3" t="s">
        <v>890</v>
      </c>
      <c r="O117" s="6" t="s">
        <v>891</v>
      </c>
      <c r="P117" s="3" t="s">
        <v>919</v>
      </c>
    </row>
    <row r="118" customFormat="false" ht="46.25" hidden="false" customHeight="false" outlineLevel="0" collapsed="false">
      <c r="A118" s="3" t="s">
        <v>920</v>
      </c>
      <c r="B118" s="3" t="s">
        <v>87</v>
      </c>
      <c r="C118" s="3" t="s">
        <v>148</v>
      </c>
      <c r="D118" s="3" t="s">
        <v>903</v>
      </c>
      <c r="E118" s="3" t="s">
        <v>921</v>
      </c>
      <c r="F118" s="3" t="s">
        <v>381</v>
      </c>
      <c r="G118" s="3" t="s">
        <v>293</v>
      </c>
      <c r="H118" s="3" t="s">
        <v>922</v>
      </c>
      <c r="I118" s="3" t="s">
        <v>923</v>
      </c>
      <c r="J118" s="3" t="s">
        <v>907</v>
      </c>
      <c r="K118" s="3" t="s">
        <v>508</v>
      </c>
      <c r="L118" s="3" t="s">
        <v>888</v>
      </c>
      <c r="M118" s="3" t="s">
        <v>924</v>
      </c>
      <c r="N118" s="3" t="s">
        <v>890</v>
      </c>
      <c r="O118" s="6" t="s">
        <v>891</v>
      </c>
      <c r="P118" s="3" t="s">
        <v>925</v>
      </c>
    </row>
    <row r="119" customFormat="false" ht="46.25" hidden="false" customHeight="false" outlineLevel="0" collapsed="false">
      <c r="A119" s="3" t="s">
        <v>926</v>
      </c>
      <c r="B119" s="3" t="s">
        <v>162</v>
      </c>
      <c r="C119" s="3" t="s">
        <v>175</v>
      </c>
      <c r="D119" s="3" t="s">
        <v>927</v>
      </c>
      <c r="E119" s="3" t="s">
        <v>928</v>
      </c>
      <c r="F119" s="3" t="s">
        <v>324</v>
      </c>
      <c r="G119" s="3" t="s">
        <v>589</v>
      </c>
      <c r="H119" s="3" t="s">
        <v>929</v>
      </c>
      <c r="I119" s="3" t="s">
        <v>930</v>
      </c>
      <c r="J119" s="3" t="s">
        <v>931</v>
      </c>
      <c r="K119" s="3" t="s">
        <v>932</v>
      </c>
      <c r="L119" s="3" t="s">
        <v>888</v>
      </c>
      <c r="M119" s="3" t="s">
        <v>933</v>
      </c>
      <c r="N119" s="3" t="s">
        <v>890</v>
      </c>
      <c r="O119" s="6" t="s">
        <v>891</v>
      </c>
      <c r="P119" s="3" t="s">
        <v>934</v>
      </c>
    </row>
    <row r="120" customFormat="false" ht="35.05" hidden="false" customHeight="false" outlineLevel="0" collapsed="false">
      <c r="A120" s="3" t="s">
        <v>935</v>
      </c>
      <c r="B120" s="3" t="s">
        <v>248</v>
      </c>
      <c r="C120" s="3" t="s">
        <v>260</v>
      </c>
      <c r="D120" s="3" t="s">
        <v>936</v>
      </c>
      <c r="E120" s="3" t="s">
        <v>261</v>
      </c>
      <c r="F120" s="3" t="s">
        <v>324</v>
      </c>
      <c r="G120" s="3" t="s">
        <v>426</v>
      </c>
      <c r="H120" s="3" t="s">
        <v>937</v>
      </c>
      <c r="I120" s="3" t="s">
        <v>938</v>
      </c>
      <c r="J120" s="3" t="s">
        <v>103</v>
      </c>
      <c r="K120" s="3" t="s">
        <v>939</v>
      </c>
      <c r="L120" s="3" t="s">
        <v>888</v>
      </c>
      <c r="M120" s="3" t="s">
        <v>940</v>
      </c>
      <c r="N120" s="3" t="s">
        <v>890</v>
      </c>
      <c r="O120" s="6" t="s">
        <v>891</v>
      </c>
      <c r="P120" s="3" t="s">
        <v>941</v>
      </c>
    </row>
    <row r="121" customFormat="false" ht="35.05" hidden="false" customHeight="false" outlineLevel="0" collapsed="false">
      <c r="A121" s="3" t="s">
        <v>942</v>
      </c>
      <c r="B121" s="3" t="s">
        <v>248</v>
      </c>
      <c r="C121" s="3" t="s">
        <v>263</v>
      </c>
      <c r="D121" s="3" t="s">
        <v>936</v>
      </c>
      <c r="E121" s="3" t="s">
        <v>264</v>
      </c>
      <c r="F121" s="3" t="s">
        <v>943</v>
      </c>
      <c r="G121" s="3" t="s">
        <v>426</v>
      </c>
      <c r="H121" s="3" t="s">
        <v>944</v>
      </c>
      <c r="I121" s="3" t="s">
        <v>945</v>
      </c>
      <c r="J121" s="3" t="s">
        <v>103</v>
      </c>
      <c r="K121" s="3" t="s">
        <v>946</v>
      </c>
      <c r="L121" s="3" t="s">
        <v>888</v>
      </c>
      <c r="M121" s="3" t="s">
        <v>947</v>
      </c>
      <c r="N121" s="3" t="s">
        <v>890</v>
      </c>
      <c r="O121" s="6" t="s">
        <v>891</v>
      </c>
      <c r="P121" s="3" t="s">
        <v>948</v>
      </c>
    </row>
    <row r="122" customFormat="false" ht="79.85" hidden="false" customHeight="false" outlineLevel="0" collapsed="false">
      <c r="A122" s="3" t="s">
        <v>949</v>
      </c>
      <c r="B122" s="3" t="s">
        <v>87</v>
      </c>
      <c r="C122" s="3" t="s">
        <v>112</v>
      </c>
      <c r="D122" s="3" t="s">
        <v>950</v>
      </c>
      <c r="E122" s="3" t="s">
        <v>951</v>
      </c>
      <c r="F122" s="3" t="s">
        <v>952</v>
      </c>
      <c r="G122" s="3" t="s">
        <v>589</v>
      </c>
      <c r="H122" s="3" t="s">
        <v>953</v>
      </c>
      <c r="I122" s="3" t="s">
        <v>954</v>
      </c>
      <c r="J122" s="3" t="s">
        <v>955</v>
      </c>
      <c r="K122" s="3" t="s">
        <v>956</v>
      </c>
      <c r="L122" s="3" t="s">
        <v>957</v>
      </c>
      <c r="M122" s="3" t="s">
        <v>958</v>
      </c>
      <c r="N122" s="3" t="s">
        <v>959</v>
      </c>
      <c r="O122" s="5" t="s">
        <v>960</v>
      </c>
      <c r="P122" s="3" t="s">
        <v>961</v>
      </c>
    </row>
    <row r="123" customFormat="false" ht="68.65" hidden="false" customHeight="false" outlineLevel="0" collapsed="false">
      <c r="A123" s="3" t="s">
        <v>962</v>
      </c>
      <c r="B123" s="3" t="s">
        <v>162</v>
      </c>
      <c r="C123" s="3" t="s">
        <v>225</v>
      </c>
      <c r="D123" s="3" t="s">
        <v>963</v>
      </c>
      <c r="E123" s="3" t="s">
        <v>964</v>
      </c>
      <c r="F123" s="3" t="s">
        <v>965</v>
      </c>
      <c r="G123" s="3" t="s">
        <v>293</v>
      </c>
      <c r="H123" s="3" t="s">
        <v>966</v>
      </c>
      <c r="I123" s="3" t="s">
        <v>967</v>
      </c>
      <c r="J123" s="3" t="s">
        <v>968</v>
      </c>
      <c r="K123" s="3" t="s">
        <v>969</v>
      </c>
      <c r="L123" s="3" t="s">
        <v>957</v>
      </c>
      <c r="M123" s="3" t="s">
        <v>970</v>
      </c>
      <c r="N123" s="3" t="s">
        <v>959</v>
      </c>
      <c r="O123" s="5" t="s">
        <v>960</v>
      </c>
      <c r="P123" s="3" t="s">
        <v>971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0"/>
    <col collapsed="false" customWidth="true" hidden="false" outlineLevel="0" max="4" min="3" style="0" width="40"/>
    <col collapsed="false" customWidth="true" hidden="false" outlineLevel="0" max="5" min="5" style="0" width="20"/>
    <col collapsed="false" customWidth="true" hidden="false" outlineLevel="0" max="6" min="6" style="0" width="11"/>
    <col collapsed="false" customWidth="true" hidden="false" outlineLevel="0" max="7" min="7" style="0" width="38"/>
    <col collapsed="false" customWidth="true" hidden="false" outlineLevel="0" max="8" min="8" style="0" width="40"/>
    <col collapsed="false" customWidth="true" hidden="false" outlineLevel="0" max="9" min="9" style="0" width="24"/>
    <col collapsed="false" customWidth="true" hidden="false" outlineLevel="0" max="10" min="10" style="0" width="34"/>
    <col collapsed="false" customWidth="true" hidden="false" outlineLevel="0" max="11" min="11" style="0" width="24"/>
    <col collapsed="false" customWidth="true" hidden="false" outlineLevel="0" max="12" min="12" style="0" width="40"/>
    <col collapsed="false" customWidth="true" hidden="false" outlineLevel="0" max="13" min="13" style="0" width="22"/>
    <col collapsed="false" customWidth="true" hidden="false" outlineLevel="0" max="14" min="14" style="0" width="12"/>
    <col collapsed="false" customWidth="true" hidden="false" outlineLevel="0" max="15" min="15" style="0" width="40"/>
  </cols>
  <sheetData>
    <row r="1" customFormat="false" ht="30" hidden="false" customHeight="true" outlineLevel="0" collapsed="false">
      <c r="A1" s="12" t="s">
        <v>275</v>
      </c>
      <c r="B1" s="12" t="s">
        <v>972</v>
      </c>
      <c r="C1" s="12" t="s">
        <v>973</v>
      </c>
      <c r="D1" s="12" t="s">
        <v>277</v>
      </c>
      <c r="E1" s="12" t="s">
        <v>278</v>
      </c>
      <c r="F1" s="12" t="s">
        <v>279</v>
      </c>
      <c r="G1" s="12" t="s">
        <v>280</v>
      </c>
      <c r="H1" s="12" t="s">
        <v>281</v>
      </c>
      <c r="I1" s="12" t="s">
        <v>282</v>
      </c>
      <c r="J1" s="12" t="s">
        <v>283</v>
      </c>
      <c r="K1" s="12" t="s">
        <v>284</v>
      </c>
      <c r="L1" s="12" t="s">
        <v>285</v>
      </c>
      <c r="M1" s="12" t="s">
        <v>286</v>
      </c>
      <c r="N1" s="12" t="s">
        <v>287</v>
      </c>
      <c r="O1" s="12" t="s">
        <v>288</v>
      </c>
    </row>
    <row r="2" customFormat="false" ht="68.65" hidden="false" customHeight="false" outlineLevel="0" collapsed="false">
      <c r="A2" s="3" t="s">
        <v>974</v>
      </c>
      <c r="B2" s="3" t="s">
        <v>975</v>
      </c>
      <c r="C2" s="3" t="s">
        <v>976</v>
      </c>
      <c r="D2" s="3" t="s">
        <v>977</v>
      </c>
      <c r="E2" s="3" t="s">
        <v>317</v>
      </c>
      <c r="F2" s="3" t="s">
        <v>293</v>
      </c>
      <c r="G2" s="3" t="s">
        <v>978</v>
      </c>
      <c r="H2" s="3" t="s">
        <v>979</v>
      </c>
      <c r="I2" s="3" t="s">
        <v>980</v>
      </c>
      <c r="J2" s="3" t="s">
        <v>981</v>
      </c>
      <c r="K2" s="3" t="s">
        <v>982</v>
      </c>
      <c r="L2" s="3" t="s">
        <v>983</v>
      </c>
      <c r="M2" s="3" t="s">
        <v>300</v>
      </c>
      <c r="N2" s="4" t="s">
        <v>301</v>
      </c>
      <c r="O2" s="3"/>
    </row>
    <row r="3" customFormat="false" ht="46.25" hidden="false" customHeight="false" outlineLevel="0" collapsed="false">
      <c r="A3" s="3" t="s">
        <v>984</v>
      </c>
      <c r="B3" s="3" t="s">
        <v>975</v>
      </c>
      <c r="C3" s="3" t="s">
        <v>985</v>
      </c>
      <c r="D3" s="3" t="s">
        <v>986</v>
      </c>
      <c r="E3" s="3" t="s">
        <v>317</v>
      </c>
      <c r="F3" s="3" t="s">
        <v>293</v>
      </c>
      <c r="G3" s="3" t="s">
        <v>978</v>
      </c>
      <c r="H3" s="3" t="s">
        <v>987</v>
      </c>
      <c r="I3" s="3" t="s">
        <v>103</v>
      </c>
      <c r="J3" s="3" t="s">
        <v>988</v>
      </c>
      <c r="K3" s="3" t="s">
        <v>982</v>
      </c>
      <c r="L3" s="3" t="s">
        <v>983</v>
      </c>
      <c r="M3" s="3" t="s">
        <v>300</v>
      </c>
      <c r="N3" s="4" t="s">
        <v>301</v>
      </c>
      <c r="O3" s="3"/>
    </row>
    <row r="4" customFormat="false" ht="68.65" hidden="false" customHeight="false" outlineLevel="0" collapsed="false">
      <c r="A4" s="3" t="s">
        <v>989</v>
      </c>
      <c r="B4" s="3" t="s">
        <v>975</v>
      </c>
      <c r="C4" s="3" t="s">
        <v>990</v>
      </c>
      <c r="D4" s="3" t="s">
        <v>991</v>
      </c>
      <c r="E4" s="3" t="s">
        <v>292</v>
      </c>
      <c r="F4" s="3" t="s">
        <v>293</v>
      </c>
      <c r="G4" s="3" t="s">
        <v>978</v>
      </c>
      <c r="H4" s="3" t="s">
        <v>992</v>
      </c>
      <c r="I4" s="3" t="s">
        <v>980</v>
      </c>
      <c r="J4" s="3" t="s">
        <v>993</v>
      </c>
      <c r="K4" s="3" t="s">
        <v>982</v>
      </c>
      <c r="L4" s="3" t="s">
        <v>983</v>
      </c>
      <c r="M4" s="3" t="s">
        <v>300</v>
      </c>
      <c r="N4" s="4" t="s">
        <v>301</v>
      </c>
      <c r="O4" s="3"/>
    </row>
    <row r="5" customFormat="false" ht="68.65" hidden="false" customHeight="false" outlineLevel="0" collapsed="false">
      <c r="A5" s="3" t="s">
        <v>994</v>
      </c>
      <c r="B5" s="3" t="s">
        <v>995</v>
      </c>
      <c r="C5" s="3" t="s">
        <v>996</v>
      </c>
      <c r="D5" s="3" t="s">
        <v>997</v>
      </c>
      <c r="E5" s="3" t="s">
        <v>292</v>
      </c>
      <c r="F5" s="3" t="s">
        <v>589</v>
      </c>
      <c r="G5" s="3" t="s">
        <v>978</v>
      </c>
      <c r="H5" s="3" t="s">
        <v>998</v>
      </c>
      <c r="I5" s="3" t="s">
        <v>103</v>
      </c>
      <c r="J5" s="3" t="s">
        <v>999</v>
      </c>
      <c r="K5" s="3" t="s">
        <v>982</v>
      </c>
      <c r="L5" s="3" t="s">
        <v>983</v>
      </c>
      <c r="M5" s="3" t="s">
        <v>1000</v>
      </c>
      <c r="N5" s="6" t="s">
        <v>1001</v>
      </c>
      <c r="O5" s="3" t="s">
        <v>1002</v>
      </c>
    </row>
    <row r="6" customFormat="false" ht="46.25" hidden="false" customHeight="false" outlineLevel="0" collapsed="false">
      <c r="A6" s="3" t="s">
        <v>1003</v>
      </c>
      <c r="B6" s="3" t="s">
        <v>1004</v>
      </c>
      <c r="C6" s="3" t="s">
        <v>1005</v>
      </c>
      <c r="D6" s="3" t="s">
        <v>1006</v>
      </c>
      <c r="E6" s="3" t="s">
        <v>317</v>
      </c>
      <c r="F6" s="3" t="s">
        <v>426</v>
      </c>
      <c r="G6" s="3" t="s">
        <v>978</v>
      </c>
      <c r="H6" s="3" t="s">
        <v>1007</v>
      </c>
      <c r="I6" s="3" t="s">
        <v>103</v>
      </c>
      <c r="J6" s="3" t="s">
        <v>1008</v>
      </c>
      <c r="K6" s="3" t="s">
        <v>982</v>
      </c>
      <c r="L6" s="3" t="s">
        <v>983</v>
      </c>
      <c r="M6" s="3" t="s">
        <v>300</v>
      </c>
      <c r="N6" s="4" t="s">
        <v>301</v>
      </c>
      <c r="O6" s="3"/>
    </row>
    <row r="7" customFormat="false" ht="147" hidden="false" customHeight="false" outlineLevel="0" collapsed="false">
      <c r="A7" s="3" t="s">
        <v>1009</v>
      </c>
      <c r="B7" s="3" t="s">
        <v>1010</v>
      </c>
      <c r="C7" s="3" t="s">
        <v>1011</v>
      </c>
      <c r="D7" s="3" t="s">
        <v>1012</v>
      </c>
      <c r="E7" s="3" t="s">
        <v>292</v>
      </c>
      <c r="F7" s="3" t="s">
        <v>293</v>
      </c>
      <c r="G7" s="3" t="s">
        <v>978</v>
      </c>
      <c r="H7" s="3" t="s">
        <v>1013</v>
      </c>
      <c r="I7" s="3" t="s">
        <v>980</v>
      </c>
      <c r="J7" s="3" t="s">
        <v>103</v>
      </c>
      <c r="K7" s="3" t="s">
        <v>982</v>
      </c>
      <c r="L7" s="3" t="s">
        <v>983</v>
      </c>
      <c r="M7" s="3" t="s">
        <v>300</v>
      </c>
      <c r="N7" s="4" t="s">
        <v>301</v>
      </c>
      <c r="O7" s="3"/>
    </row>
    <row r="8" customFormat="false" ht="68.65" hidden="false" customHeight="false" outlineLevel="0" collapsed="false">
      <c r="A8" s="3" t="s">
        <v>1014</v>
      </c>
      <c r="B8" s="3" t="s">
        <v>1015</v>
      </c>
      <c r="C8" s="3" t="s">
        <v>1016</v>
      </c>
      <c r="D8" s="3" t="s">
        <v>1017</v>
      </c>
      <c r="E8" s="3" t="s">
        <v>292</v>
      </c>
      <c r="F8" s="3" t="s">
        <v>426</v>
      </c>
      <c r="G8" s="3" t="s">
        <v>978</v>
      </c>
      <c r="H8" s="3" t="s">
        <v>1018</v>
      </c>
      <c r="I8" s="3" t="s">
        <v>103</v>
      </c>
      <c r="J8" s="3" t="s">
        <v>1019</v>
      </c>
      <c r="K8" s="3" t="s">
        <v>982</v>
      </c>
      <c r="L8" s="3" t="s">
        <v>983</v>
      </c>
      <c r="M8" s="3" t="s">
        <v>300</v>
      </c>
      <c r="N8" s="4" t="s">
        <v>301</v>
      </c>
      <c r="O8" s="3"/>
    </row>
    <row r="9" customFormat="false" ht="57.45" hidden="false" customHeight="false" outlineLevel="0" collapsed="false">
      <c r="A9" s="3" t="s">
        <v>1020</v>
      </c>
      <c r="B9" s="3" t="s">
        <v>1015</v>
      </c>
      <c r="C9" s="3" t="s">
        <v>1021</v>
      </c>
      <c r="D9" s="3" t="s">
        <v>1022</v>
      </c>
      <c r="E9" s="3" t="s">
        <v>292</v>
      </c>
      <c r="F9" s="3" t="s">
        <v>426</v>
      </c>
      <c r="G9" s="3" t="s">
        <v>978</v>
      </c>
      <c r="H9" s="3" t="s">
        <v>1023</v>
      </c>
      <c r="I9" s="3" t="s">
        <v>103</v>
      </c>
      <c r="J9" s="3" t="s">
        <v>1024</v>
      </c>
      <c r="K9" s="3" t="s">
        <v>982</v>
      </c>
      <c r="L9" s="3" t="s">
        <v>983</v>
      </c>
      <c r="M9" s="3" t="s">
        <v>300</v>
      </c>
      <c r="N9" s="4" t="s">
        <v>301</v>
      </c>
      <c r="O9" s="3"/>
    </row>
    <row r="10" customFormat="false" ht="46.25" hidden="false" customHeight="false" outlineLevel="0" collapsed="false">
      <c r="A10" s="3" t="s">
        <v>1025</v>
      </c>
      <c r="B10" s="3" t="s">
        <v>1015</v>
      </c>
      <c r="C10" s="3" t="s">
        <v>1026</v>
      </c>
      <c r="D10" s="3" t="s">
        <v>1027</v>
      </c>
      <c r="E10" s="3" t="s">
        <v>292</v>
      </c>
      <c r="F10" s="3" t="s">
        <v>426</v>
      </c>
      <c r="G10" s="3" t="s">
        <v>978</v>
      </c>
      <c r="H10" s="3" t="s">
        <v>1028</v>
      </c>
      <c r="I10" s="3" t="s">
        <v>103</v>
      </c>
      <c r="J10" s="3" t="s">
        <v>1029</v>
      </c>
      <c r="K10" s="3" t="s">
        <v>982</v>
      </c>
      <c r="L10" s="3" t="s">
        <v>983</v>
      </c>
      <c r="M10" s="3" t="s">
        <v>300</v>
      </c>
      <c r="N10" s="4" t="s">
        <v>301</v>
      </c>
      <c r="O10" s="3"/>
    </row>
    <row r="11" customFormat="false" ht="79.85" hidden="false" customHeight="false" outlineLevel="0" collapsed="false">
      <c r="A11" s="3" t="s">
        <v>1030</v>
      </c>
      <c r="B11" s="3" t="s">
        <v>1015</v>
      </c>
      <c r="C11" s="3" t="s">
        <v>1031</v>
      </c>
      <c r="D11" s="3" t="s">
        <v>1022</v>
      </c>
      <c r="E11" s="3" t="s">
        <v>292</v>
      </c>
      <c r="F11" s="3" t="s">
        <v>426</v>
      </c>
      <c r="G11" s="3" t="s">
        <v>978</v>
      </c>
      <c r="H11" s="3" t="s">
        <v>1032</v>
      </c>
      <c r="I11" s="3" t="s">
        <v>103</v>
      </c>
      <c r="J11" s="3" t="s">
        <v>1033</v>
      </c>
      <c r="K11" s="3" t="s">
        <v>982</v>
      </c>
      <c r="L11" s="3" t="s">
        <v>983</v>
      </c>
      <c r="M11" s="3" t="s">
        <v>300</v>
      </c>
      <c r="N11" s="4" t="s">
        <v>301</v>
      </c>
      <c r="O11" s="3"/>
    </row>
    <row r="12" customFormat="false" ht="46.25" hidden="false" customHeight="false" outlineLevel="0" collapsed="false">
      <c r="A12" s="3" t="s">
        <v>1034</v>
      </c>
      <c r="B12" s="3" t="s">
        <v>1035</v>
      </c>
      <c r="C12" s="3" t="s">
        <v>1036</v>
      </c>
      <c r="D12" s="3" t="s">
        <v>1037</v>
      </c>
      <c r="E12" s="3" t="s">
        <v>292</v>
      </c>
      <c r="F12" s="3" t="s">
        <v>293</v>
      </c>
      <c r="G12" s="3" t="s">
        <v>978</v>
      </c>
      <c r="H12" s="3" t="s">
        <v>1038</v>
      </c>
      <c r="I12" s="3" t="s">
        <v>103</v>
      </c>
      <c r="J12" s="3" t="s">
        <v>1039</v>
      </c>
      <c r="K12" s="3" t="s">
        <v>982</v>
      </c>
      <c r="L12" s="3" t="s">
        <v>983</v>
      </c>
      <c r="M12" s="3" t="s">
        <v>300</v>
      </c>
      <c r="N12" s="4" t="s">
        <v>301</v>
      </c>
      <c r="O12" s="3"/>
    </row>
    <row r="13" customFormat="false" ht="57.45" hidden="false" customHeight="false" outlineLevel="0" collapsed="false">
      <c r="A13" s="3" t="s">
        <v>1040</v>
      </c>
      <c r="B13" s="3" t="s">
        <v>1035</v>
      </c>
      <c r="C13" s="3" t="s">
        <v>1041</v>
      </c>
      <c r="D13" s="3" t="s">
        <v>1042</v>
      </c>
      <c r="E13" s="3" t="s">
        <v>292</v>
      </c>
      <c r="F13" s="3" t="s">
        <v>293</v>
      </c>
      <c r="G13" s="3" t="s">
        <v>978</v>
      </c>
      <c r="H13" s="3" t="s">
        <v>1043</v>
      </c>
      <c r="I13" s="3" t="s">
        <v>103</v>
      </c>
      <c r="J13" s="3" t="s">
        <v>1044</v>
      </c>
      <c r="K13" s="3" t="s">
        <v>982</v>
      </c>
      <c r="L13" s="3" t="s">
        <v>983</v>
      </c>
      <c r="M13" s="3" t="s">
        <v>300</v>
      </c>
      <c r="N13" s="4" t="s">
        <v>301</v>
      </c>
      <c r="O13" s="3"/>
    </row>
    <row r="14" customFormat="false" ht="79.85" hidden="false" customHeight="false" outlineLevel="0" collapsed="false">
      <c r="A14" s="3" t="s">
        <v>1045</v>
      </c>
      <c r="B14" s="3" t="s">
        <v>1035</v>
      </c>
      <c r="C14" s="3" t="s">
        <v>1046</v>
      </c>
      <c r="D14" s="3" t="s">
        <v>1047</v>
      </c>
      <c r="E14" s="3" t="s">
        <v>292</v>
      </c>
      <c r="F14" s="3" t="s">
        <v>293</v>
      </c>
      <c r="G14" s="3" t="s">
        <v>978</v>
      </c>
      <c r="H14" s="3" t="s">
        <v>1048</v>
      </c>
      <c r="I14" s="3" t="s">
        <v>103</v>
      </c>
      <c r="J14" s="3" t="s">
        <v>103</v>
      </c>
      <c r="K14" s="3" t="s">
        <v>982</v>
      </c>
      <c r="L14" s="3" t="s">
        <v>983</v>
      </c>
      <c r="M14" s="3" t="s">
        <v>300</v>
      </c>
      <c r="N14" s="4" t="s">
        <v>301</v>
      </c>
      <c r="O14" s="3"/>
    </row>
    <row r="15" customFormat="false" ht="102.2" hidden="false" customHeight="false" outlineLevel="0" collapsed="false">
      <c r="A15" s="3" t="s">
        <v>1049</v>
      </c>
      <c r="B15" s="3" t="s">
        <v>1050</v>
      </c>
      <c r="C15" s="3" t="s">
        <v>1051</v>
      </c>
      <c r="D15" s="3" t="s">
        <v>1052</v>
      </c>
      <c r="E15" s="3" t="s">
        <v>292</v>
      </c>
      <c r="F15" s="3" t="s">
        <v>293</v>
      </c>
      <c r="G15" s="3" t="s">
        <v>978</v>
      </c>
      <c r="H15" s="3" t="s">
        <v>1053</v>
      </c>
      <c r="I15" s="3" t="s">
        <v>103</v>
      </c>
      <c r="J15" s="3" t="s">
        <v>1054</v>
      </c>
      <c r="K15" s="3" t="s">
        <v>982</v>
      </c>
      <c r="L15" s="3" t="s">
        <v>983</v>
      </c>
      <c r="M15" s="3" t="s">
        <v>300</v>
      </c>
      <c r="N15" s="4" t="s">
        <v>301</v>
      </c>
      <c r="O15" s="3"/>
    </row>
    <row r="16" customFormat="false" ht="46.25" hidden="false" customHeight="false" outlineLevel="0" collapsed="false">
      <c r="A16" s="3" t="s">
        <v>1055</v>
      </c>
      <c r="B16" s="3" t="s">
        <v>1050</v>
      </c>
      <c r="C16" s="3" t="s">
        <v>1056</v>
      </c>
      <c r="D16" s="3" t="s">
        <v>1057</v>
      </c>
      <c r="E16" s="3" t="s">
        <v>292</v>
      </c>
      <c r="F16" s="3" t="s">
        <v>293</v>
      </c>
      <c r="G16" s="3" t="s">
        <v>978</v>
      </c>
      <c r="H16" s="3" t="s">
        <v>1058</v>
      </c>
      <c r="I16" s="3" t="s">
        <v>103</v>
      </c>
      <c r="J16" s="3" t="s">
        <v>1059</v>
      </c>
      <c r="K16" s="3" t="s">
        <v>982</v>
      </c>
      <c r="L16" s="3" t="s">
        <v>983</v>
      </c>
      <c r="M16" s="3" t="s">
        <v>300</v>
      </c>
      <c r="N16" s="4" t="s">
        <v>301</v>
      </c>
      <c r="O16" s="3"/>
    </row>
    <row r="17" customFormat="false" ht="79.85" hidden="false" customHeight="false" outlineLevel="0" collapsed="false">
      <c r="A17" s="3" t="s">
        <v>1060</v>
      </c>
      <c r="B17" s="3" t="s">
        <v>1050</v>
      </c>
      <c r="C17" s="3" t="s">
        <v>1061</v>
      </c>
      <c r="D17" s="3" t="s">
        <v>1062</v>
      </c>
      <c r="E17" s="3" t="s">
        <v>292</v>
      </c>
      <c r="F17" s="3" t="s">
        <v>293</v>
      </c>
      <c r="G17" s="3" t="s">
        <v>978</v>
      </c>
      <c r="H17" s="3" t="s">
        <v>1063</v>
      </c>
      <c r="I17" s="3" t="s">
        <v>103</v>
      </c>
      <c r="J17" s="3" t="s">
        <v>1064</v>
      </c>
      <c r="K17" s="3" t="s">
        <v>982</v>
      </c>
      <c r="L17" s="3" t="s">
        <v>983</v>
      </c>
      <c r="M17" s="3" t="s">
        <v>300</v>
      </c>
      <c r="N17" s="4" t="s">
        <v>301</v>
      </c>
      <c r="O17" s="3"/>
    </row>
    <row r="18" customFormat="false" ht="79.85" hidden="false" customHeight="false" outlineLevel="0" collapsed="false">
      <c r="A18" s="3" t="s">
        <v>1065</v>
      </c>
      <c r="B18" s="3" t="s">
        <v>1050</v>
      </c>
      <c r="C18" s="3" t="s">
        <v>1066</v>
      </c>
      <c r="D18" s="3" t="s">
        <v>1067</v>
      </c>
      <c r="E18" s="3" t="s">
        <v>292</v>
      </c>
      <c r="F18" s="3" t="s">
        <v>293</v>
      </c>
      <c r="G18" s="3" t="s">
        <v>978</v>
      </c>
      <c r="H18" s="3" t="s">
        <v>1068</v>
      </c>
      <c r="I18" s="3" t="s">
        <v>103</v>
      </c>
      <c r="J18" s="3" t="s">
        <v>1069</v>
      </c>
      <c r="K18" s="3" t="s">
        <v>982</v>
      </c>
      <c r="L18" s="3" t="s">
        <v>983</v>
      </c>
      <c r="M18" s="3" t="s">
        <v>300</v>
      </c>
      <c r="N18" s="4" t="s">
        <v>301</v>
      </c>
      <c r="O18" s="3"/>
    </row>
    <row r="19" customFormat="false" ht="102.2" hidden="false" customHeight="false" outlineLevel="0" collapsed="false">
      <c r="A19" s="3" t="s">
        <v>1070</v>
      </c>
      <c r="B19" s="3" t="s">
        <v>1050</v>
      </c>
      <c r="C19" s="3" t="s">
        <v>1071</v>
      </c>
      <c r="D19" s="3" t="s">
        <v>1072</v>
      </c>
      <c r="E19" s="3" t="s">
        <v>1073</v>
      </c>
      <c r="F19" s="3" t="s">
        <v>293</v>
      </c>
      <c r="G19" s="3" t="s">
        <v>978</v>
      </c>
      <c r="H19" s="3" t="s">
        <v>1074</v>
      </c>
      <c r="I19" s="3" t="s">
        <v>103</v>
      </c>
      <c r="J19" s="3" t="s">
        <v>1075</v>
      </c>
      <c r="K19" s="3" t="s">
        <v>982</v>
      </c>
      <c r="L19" s="3" t="s">
        <v>983</v>
      </c>
      <c r="M19" s="3" t="s">
        <v>1000</v>
      </c>
      <c r="N19" s="6" t="s">
        <v>1001</v>
      </c>
      <c r="O19" s="3" t="s">
        <v>1076</v>
      </c>
    </row>
    <row r="20" customFormat="false" ht="79.85" hidden="false" customHeight="false" outlineLevel="0" collapsed="false">
      <c r="A20" s="3" t="s">
        <v>1077</v>
      </c>
      <c r="B20" s="3" t="s">
        <v>1050</v>
      </c>
      <c r="C20" s="3" t="s">
        <v>1078</v>
      </c>
      <c r="D20" s="3" t="s">
        <v>1079</v>
      </c>
      <c r="E20" s="3" t="s">
        <v>292</v>
      </c>
      <c r="F20" s="3" t="s">
        <v>293</v>
      </c>
      <c r="G20" s="3" t="s">
        <v>978</v>
      </c>
      <c r="H20" s="3" t="s">
        <v>1080</v>
      </c>
      <c r="I20" s="3" t="s">
        <v>103</v>
      </c>
      <c r="J20" s="3" t="s">
        <v>1081</v>
      </c>
      <c r="K20" s="3" t="s">
        <v>982</v>
      </c>
      <c r="L20" s="3" t="s">
        <v>983</v>
      </c>
      <c r="M20" s="3" t="s">
        <v>300</v>
      </c>
      <c r="N20" s="4" t="s">
        <v>301</v>
      </c>
      <c r="O20" s="3"/>
    </row>
    <row r="21" customFormat="false" ht="57.45" hidden="false" customHeight="false" outlineLevel="0" collapsed="false">
      <c r="A21" s="3" t="s">
        <v>1082</v>
      </c>
      <c r="B21" s="3" t="s">
        <v>1050</v>
      </c>
      <c r="C21" s="3" t="s">
        <v>1083</v>
      </c>
      <c r="D21" s="3" t="s">
        <v>1084</v>
      </c>
      <c r="E21" s="3" t="s">
        <v>292</v>
      </c>
      <c r="F21" s="3" t="s">
        <v>293</v>
      </c>
      <c r="G21" s="3" t="s">
        <v>978</v>
      </c>
      <c r="H21" s="3" t="s">
        <v>1085</v>
      </c>
      <c r="I21" s="3" t="s">
        <v>103</v>
      </c>
      <c r="J21" s="3" t="s">
        <v>1086</v>
      </c>
      <c r="K21" s="3" t="s">
        <v>982</v>
      </c>
      <c r="L21" s="3" t="s">
        <v>983</v>
      </c>
      <c r="M21" s="3" t="s">
        <v>300</v>
      </c>
      <c r="N21" s="4" t="s">
        <v>301</v>
      </c>
      <c r="O21" s="3"/>
    </row>
    <row r="22" customFormat="false" ht="91" hidden="false" customHeight="false" outlineLevel="0" collapsed="false">
      <c r="A22" s="3" t="s">
        <v>1087</v>
      </c>
      <c r="B22" s="3" t="s">
        <v>1050</v>
      </c>
      <c r="C22" s="3" t="s">
        <v>1088</v>
      </c>
      <c r="D22" s="3" t="s">
        <v>1089</v>
      </c>
      <c r="E22" s="3" t="s">
        <v>324</v>
      </c>
      <c r="F22" s="3" t="s">
        <v>293</v>
      </c>
      <c r="G22" s="3" t="s">
        <v>978</v>
      </c>
      <c r="H22" s="3" t="s">
        <v>1090</v>
      </c>
      <c r="I22" s="3" t="s">
        <v>103</v>
      </c>
      <c r="J22" s="3" t="s">
        <v>1091</v>
      </c>
      <c r="K22" s="3" t="s">
        <v>982</v>
      </c>
      <c r="L22" s="3" t="s">
        <v>983</v>
      </c>
      <c r="M22" s="3" t="s">
        <v>300</v>
      </c>
      <c r="N22" s="4" t="s">
        <v>301</v>
      </c>
      <c r="O22" s="3"/>
    </row>
    <row r="23" customFormat="false" ht="91" hidden="false" customHeight="false" outlineLevel="0" collapsed="false">
      <c r="A23" s="3" t="s">
        <v>1092</v>
      </c>
      <c r="B23" s="3" t="s">
        <v>1050</v>
      </c>
      <c r="C23" s="3" t="s">
        <v>1093</v>
      </c>
      <c r="D23" s="3" t="s">
        <v>1094</v>
      </c>
      <c r="E23" s="3" t="s">
        <v>324</v>
      </c>
      <c r="F23" s="3" t="s">
        <v>293</v>
      </c>
      <c r="G23" s="3" t="s">
        <v>978</v>
      </c>
      <c r="H23" s="3" t="s">
        <v>1095</v>
      </c>
      <c r="I23" s="3" t="s">
        <v>103</v>
      </c>
      <c r="J23" s="3" t="s">
        <v>1096</v>
      </c>
      <c r="K23" s="3" t="s">
        <v>982</v>
      </c>
      <c r="L23" s="3" t="s">
        <v>983</v>
      </c>
      <c r="M23" s="3" t="s">
        <v>300</v>
      </c>
      <c r="N23" s="4" t="s">
        <v>301</v>
      </c>
      <c r="O23" s="3"/>
    </row>
    <row r="24" customFormat="false" ht="68.65" hidden="false" customHeight="false" outlineLevel="0" collapsed="false">
      <c r="A24" s="3" t="s">
        <v>1097</v>
      </c>
      <c r="B24" s="3" t="s">
        <v>1050</v>
      </c>
      <c r="C24" s="3" t="s">
        <v>1098</v>
      </c>
      <c r="D24" s="3" t="s">
        <v>1099</v>
      </c>
      <c r="E24" s="3" t="s">
        <v>292</v>
      </c>
      <c r="F24" s="3" t="s">
        <v>293</v>
      </c>
      <c r="G24" s="3" t="s">
        <v>978</v>
      </c>
      <c r="H24" s="3" t="s">
        <v>1100</v>
      </c>
      <c r="I24" s="3" t="s">
        <v>103</v>
      </c>
      <c r="J24" s="3" t="s">
        <v>1081</v>
      </c>
      <c r="K24" s="3" t="s">
        <v>982</v>
      </c>
      <c r="L24" s="3" t="s">
        <v>983</v>
      </c>
      <c r="M24" s="3" t="s">
        <v>300</v>
      </c>
      <c r="N24" s="4" t="s">
        <v>301</v>
      </c>
      <c r="O24" s="3"/>
    </row>
    <row r="25" customFormat="false" ht="57.45" hidden="false" customHeight="false" outlineLevel="0" collapsed="false">
      <c r="A25" s="3" t="s">
        <v>1101</v>
      </c>
      <c r="B25" s="3" t="s">
        <v>1050</v>
      </c>
      <c r="C25" s="3" t="s">
        <v>1102</v>
      </c>
      <c r="D25" s="3" t="s">
        <v>1103</v>
      </c>
      <c r="E25" s="3" t="s">
        <v>292</v>
      </c>
      <c r="F25" s="3" t="s">
        <v>293</v>
      </c>
      <c r="G25" s="3" t="s">
        <v>978</v>
      </c>
      <c r="H25" s="3" t="s">
        <v>1104</v>
      </c>
      <c r="I25" s="3" t="s">
        <v>103</v>
      </c>
      <c r="J25" s="3" t="s">
        <v>1105</v>
      </c>
      <c r="K25" s="3" t="s">
        <v>982</v>
      </c>
      <c r="L25" s="3" t="s">
        <v>983</v>
      </c>
      <c r="M25" s="3" t="s">
        <v>300</v>
      </c>
      <c r="N25" s="4" t="s">
        <v>301</v>
      </c>
      <c r="O25" s="3"/>
    </row>
    <row r="26" customFormat="false" ht="46.25" hidden="false" customHeight="false" outlineLevel="0" collapsed="false">
      <c r="A26" s="3" t="s">
        <v>1106</v>
      </c>
      <c r="B26" s="3" t="s">
        <v>1107</v>
      </c>
      <c r="C26" s="3" t="s">
        <v>1108</v>
      </c>
      <c r="D26" s="3" t="s">
        <v>1109</v>
      </c>
      <c r="E26" s="3" t="s">
        <v>292</v>
      </c>
      <c r="F26" s="3" t="s">
        <v>293</v>
      </c>
      <c r="G26" s="3" t="s">
        <v>978</v>
      </c>
      <c r="H26" s="3" t="s">
        <v>1110</v>
      </c>
      <c r="I26" s="3" t="s">
        <v>103</v>
      </c>
      <c r="J26" s="3" t="s">
        <v>1111</v>
      </c>
      <c r="K26" s="3" t="s">
        <v>982</v>
      </c>
      <c r="L26" s="3" t="s">
        <v>983</v>
      </c>
      <c r="M26" s="3" t="s">
        <v>300</v>
      </c>
      <c r="N26" s="4" t="s">
        <v>301</v>
      </c>
      <c r="O26" s="3"/>
    </row>
    <row r="27" customFormat="false" ht="102.2" hidden="false" customHeight="false" outlineLevel="0" collapsed="false">
      <c r="A27" s="3" t="s">
        <v>1112</v>
      </c>
      <c r="B27" s="3" t="s">
        <v>1113</v>
      </c>
      <c r="C27" s="3" t="s">
        <v>1114</v>
      </c>
      <c r="D27" s="3" t="s">
        <v>1115</v>
      </c>
      <c r="E27" s="3" t="s">
        <v>292</v>
      </c>
      <c r="F27" s="3" t="s">
        <v>426</v>
      </c>
      <c r="G27" s="3" t="s">
        <v>978</v>
      </c>
      <c r="H27" s="3" t="s">
        <v>1116</v>
      </c>
      <c r="I27" s="3" t="s">
        <v>103</v>
      </c>
      <c r="J27" s="3" t="s">
        <v>1117</v>
      </c>
      <c r="K27" s="3" t="s">
        <v>982</v>
      </c>
      <c r="L27" s="3" t="s">
        <v>983</v>
      </c>
      <c r="M27" s="3" t="s">
        <v>300</v>
      </c>
      <c r="N27" s="4" t="s">
        <v>301</v>
      </c>
      <c r="O27" s="3"/>
    </row>
    <row r="28" customFormat="false" ht="79.85" hidden="false" customHeight="false" outlineLevel="0" collapsed="false">
      <c r="A28" s="3" t="s">
        <v>1118</v>
      </c>
      <c r="B28" s="3" t="s">
        <v>1113</v>
      </c>
      <c r="C28" s="3" t="s">
        <v>1119</v>
      </c>
      <c r="D28" s="3" t="s">
        <v>1120</v>
      </c>
      <c r="E28" s="3" t="s">
        <v>292</v>
      </c>
      <c r="F28" s="3" t="s">
        <v>426</v>
      </c>
      <c r="G28" s="3" t="s">
        <v>978</v>
      </c>
      <c r="H28" s="3" t="s">
        <v>1121</v>
      </c>
      <c r="I28" s="3" t="s">
        <v>103</v>
      </c>
      <c r="J28" s="3" t="s">
        <v>1122</v>
      </c>
      <c r="K28" s="3" t="s">
        <v>982</v>
      </c>
      <c r="L28" s="3" t="s">
        <v>983</v>
      </c>
      <c r="M28" s="3" t="s">
        <v>300</v>
      </c>
      <c r="N28" s="4" t="s">
        <v>301</v>
      </c>
      <c r="O28" s="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LibreOffice/26.2.2.2$Linux_AARCH64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2026-10-06T17:00:23Z</dcterms:created>
  <dc:creator>openpyxl</dc:creator>
  <dc:description/>
  <dc:language>en-US</dc:language>
  <cp:lastModifiedBy/>
  <dcterms:modified xsi:type="dcterms:W3CDTF">2026-10-07T12:41:04Z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